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Scorecar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1_Generation_Inventory" sheetId="3" state="visible" r:id="rId3"/>
    <sheet xmlns:r="http://schemas.openxmlformats.org/officeDocument/2006/relationships" name="2_Collection_Log" sheetId="4" state="visible" r:id="rId4"/>
    <sheet xmlns:r="http://schemas.openxmlformats.org/officeDocument/2006/relationships" name="3_Recycling_Infrastructure" sheetId="5" state="visible" r:id="rId5"/>
    <sheet xmlns:r="http://schemas.openxmlformats.org/officeDocument/2006/relationships" name="4_Compliance_Tracker" sheetId="6" state="visible" r:id="rId6"/>
    <sheet xmlns:r="http://schemas.openxmlformats.org/officeDocument/2006/relationships" name="5_Informal_Sector_Hotspots" sheetId="7" state="visible" r:id="rId7"/>
    <sheet xmlns:r="http://schemas.openxmlformats.org/officeDocument/2006/relationships" name="6_Env_Health_Monitoring" sheetId="8" state="visible" r:id="rId8"/>
    <sheet xmlns:r="http://schemas.openxmlformats.org/officeDocument/2006/relationships" name="7_Awareness_Program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4E78"/>
      <sz val="28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center" wrapText="1"/>
    </xf>
    <xf numFmtId="0" fontId="0" fillId="5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165" fontId="13" fillId="6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center" wrapText="1"/>
    </xf>
    <xf numFmtId="0" fontId="0" fillId="5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165" fontId="13" fillId="6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I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6" customWidth="1" style="27" min="2" max="2"/>
    <col width="30" customWidth="1" style="27" min="3" max="3"/>
    <col width="10" customWidth="1" style="27" min="4" max="4"/>
    <col width="16" customWidth="1" style="27" min="5" max="6"/>
    <col width="14" customWidth="1" style="27" min="7" max="7"/>
    <col width="13" customWidth="1" style="27" min="8" max="8"/>
    <col width="10" customWidth="1" style="27" min="9" max="9"/>
  </cols>
  <sheetData>
    <row r="2" ht="25.5" customHeight="1" s="28">
      <c r="A2" s="29" t="inlineStr">
        <is>
          <t>State E-Waste Management Scorecard</t>
        </is>
      </c>
    </row>
    <row r="3" ht="15" customHeight="1" s="28">
      <c r="B3" s="30" t="inlineStr">
        <is>
          <t>Live score out of 100, calculated from the 7 data sheets. Set benchmarks in the yellow 'Target/Benchmark' cells.</t>
        </is>
      </c>
    </row>
    <row r="5" ht="15" customHeight="1" s="28">
      <c r="B5" s="31" t="inlineStr">
        <is>
          <t>STATE SCORE</t>
        </is>
      </c>
      <c r="D5" s="32">
        <f>ROUND(H17,1)</f>
        <v/>
      </c>
      <c r="F5" s="33">
        <f>_xlfn.IFS(H17&gt;=85,"EXCELLENT",H17&gt;=65,"GOOD",H17&gt;=45,"NEEDS IMPROVEMENT",TRUE(),"CRITICAL")</f>
        <v/>
      </c>
    </row>
    <row r="6" ht="15" customHeight="1" s="28"/>
    <row r="7" ht="15" customHeight="1" s="28"/>
    <row r="9" ht="30" customHeight="1" s="28">
      <c r="B9" s="34" t="inlineStr">
        <is>
          <t>#</t>
        </is>
      </c>
      <c r="C9" s="34" t="inlineStr">
        <is>
          <t>Category</t>
        </is>
      </c>
      <c r="D9" s="34" t="inlineStr">
        <is>
          <t>Weight</t>
        </is>
      </c>
      <c r="E9" s="34" t="inlineStr">
        <is>
          <t>Benchmark / Target</t>
        </is>
      </c>
      <c r="F9" s="34" t="inlineStr">
        <is>
          <t>Achieved Value</t>
        </is>
      </c>
      <c r="G9" s="34" t="inlineStr">
        <is>
          <t>Achievement %</t>
        </is>
      </c>
      <c r="H9" s="34" t="inlineStr">
        <is>
          <t>Score Earned</t>
        </is>
      </c>
    </row>
    <row r="10" ht="30" customHeight="1" s="28">
      <c r="B10" s="35" t="n">
        <v>1</v>
      </c>
      <c r="C10" s="36" t="inlineStr">
        <is>
          <t>Generation &amp; Inventory</t>
        </is>
      </c>
      <c r="D10" s="35" t="n">
        <v>15</v>
      </c>
      <c r="E10" s="37" t="n">
        <v>5</v>
      </c>
      <c r="F10" s="35">
        <f>COUNTIF(1_Generation_Inventory!C6:C25,"?*")</f>
        <v/>
      </c>
      <c r="G10" s="38">
        <f>IFERROR(MIN(F10/E10,1),0)</f>
        <v/>
      </c>
      <c r="H10" s="39">
        <f>ROUND(G10*D10,1)</f>
        <v/>
      </c>
    </row>
    <row r="11" ht="30" customHeight="1" s="28">
      <c r="B11" s="35" t="n">
        <v>2</v>
      </c>
      <c r="C11" s="36" t="inlineStr">
        <is>
          <t>Collection Performance</t>
        </is>
      </c>
      <c r="D11" s="35" t="n">
        <v>20</v>
      </c>
      <c r="E11" s="40" t="n">
        <v>1</v>
      </c>
      <c r="F11" s="38">
        <f>IFERROR(2_Collection_Log!F27/2_Collection_Log!C27,0)</f>
        <v/>
      </c>
      <c r="G11" s="38">
        <f>IFERROR(MIN(F11/E11,1),0)</f>
        <v/>
      </c>
      <c r="H11" s="39">
        <f>ROUND(G11*D11,1)</f>
        <v/>
      </c>
    </row>
    <row r="12" ht="30" customHeight="1" s="28">
      <c r="B12" s="35" t="n">
        <v>3</v>
      </c>
      <c r="C12" s="36" t="inlineStr">
        <is>
          <t>Formal Recycling &amp; Treatment</t>
        </is>
      </c>
      <c r="D12" s="35" t="n">
        <v>20</v>
      </c>
      <c r="E12" s="40" t="n">
        <v>1</v>
      </c>
      <c r="F12" s="38">
        <f>IFERROR((3_Recycling_Infrastructure!E28*1000)/2_Collection_Log!C27,0)</f>
        <v/>
      </c>
      <c r="G12" s="38">
        <f>IFERROR(MIN(F12/E12,1),0)</f>
        <v/>
      </c>
      <c r="H12" s="39">
        <f>ROUND(G12*D12,1)</f>
        <v/>
      </c>
    </row>
    <row r="13" ht="30" customHeight="1" s="28">
      <c r="B13" s="35" t="n">
        <v>4</v>
      </c>
      <c r="C13" s="36" t="inlineStr">
        <is>
          <t>Regulatory Compliance</t>
        </is>
      </c>
      <c r="D13" s="35" t="n">
        <v>15</v>
      </c>
      <c r="E13" s="40" t="n">
        <v>1</v>
      </c>
      <c r="F13" s="38">
        <f>IFERROR(4_Compliance_Tracker!C28/4_Compliance_Tracker!C29,0)</f>
        <v/>
      </c>
      <c r="G13" s="38">
        <f>IFERROR(MIN(F13/E13,1),0)</f>
        <v/>
      </c>
      <c r="H13" s="39">
        <f>ROUND(G13*D13,1)</f>
        <v/>
      </c>
    </row>
    <row r="14" ht="30" customHeight="1" s="28">
      <c r="B14" s="35" t="n">
        <v>5</v>
      </c>
      <c r="C14" s="36" t="inlineStr">
        <is>
          <t>Informal Sector Integration</t>
        </is>
      </c>
      <c r="D14" s="35" t="n">
        <v>10</v>
      </c>
      <c r="E14" s="40" t="n">
        <v>1</v>
      </c>
      <c r="F14" s="38">
        <f>IFERROR(5_Informal_Sector_Hotspots!C29/5_Informal_Sector_Hotspots!C28,0)</f>
        <v/>
      </c>
      <c r="G14" s="38">
        <f>IFERROR(MIN(F14/E14,1),0)</f>
        <v/>
      </c>
      <c r="H14" s="39">
        <f>ROUND(G14*D14,1)</f>
        <v/>
      </c>
    </row>
    <row r="15" ht="30" customHeight="1" s="28">
      <c r="B15" s="35" t="n">
        <v>6</v>
      </c>
      <c r="C15" s="36" t="inlineStr">
        <is>
          <t>Environmental &amp; Health Safeguards</t>
        </is>
      </c>
      <c r="D15" s="35" t="n">
        <v>10</v>
      </c>
      <c r="E15" s="40" t="n">
        <v>1</v>
      </c>
      <c r="F15" s="38">
        <f>IFERROR(6_Env_Health_Monitoring!C28/5_Informal_Sector_Hotspots!C28,0)</f>
        <v/>
      </c>
      <c r="G15" s="38">
        <f>IFERROR(MIN(F15/E15,1),0)</f>
        <v/>
      </c>
      <c r="H15" s="39">
        <f>ROUND(G15*D15,1)</f>
        <v/>
      </c>
    </row>
    <row r="16" ht="30" customHeight="1" s="28">
      <c r="B16" s="35" t="n">
        <v>7</v>
      </c>
      <c r="C16" s="36" t="inlineStr">
        <is>
          <t>Awareness &amp; Outreach</t>
        </is>
      </c>
      <c r="D16" s="35" t="n">
        <v>10</v>
      </c>
      <c r="E16" s="37" t="n">
        <v>20</v>
      </c>
      <c r="F16" s="35">
        <f>7_Awareness_Programs!C28</f>
        <v/>
      </c>
      <c r="G16" s="38">
        <f>IFERROR(MIN(F16/E16,1),0)</f>
        <v/>
      </c>
      <c r="H16" s="39">
        <f>ROUND(G16*D16,1)</f>
        <v/>
      </c>
    </row>
    <row r="17" ht="15" customHeight="1" s="28">
      <c r="B17" s="41" t="n"/>
      <c r="C17" s="42" t="inlineStr">
        <is>
          <t>TOTAL SCORE</t>
        </is>
      </c>
      <c r="D17" s="42">
        <f>SUM(D10:D16)</f>
        <v/>
      </c>
      <c r="E17" s="41" t="n"/>
      <c r="F17" s="41" t="n"/>
      <c r="G17" s="41" t="n"/>
      <c r="H17" s="42">
        <f>SUM(H10:H16)</f>
        <v/>
      </c>
    </row>
    <row r="19" ht="15" customHeight="1" s="28">
      <c r="B19" s="43" t="inlineStr">
        <is>
          <t>Score Bands:</t>
        </is>
      </c>
    </row>
    <row r="20" ht="15" customHeight="1" s="28">
      <c r="B20" s="44" t="inlineStr">
        <is>
          <t>85-100</t>
        </is>
      </c>
      <c r="C20" s="44" t="inlineStr">
        <is>
          <t>Excellent</t>
        </is>
      </c>
    </row>
    <row r="21" ht="15" customHeight="1" s="28">
      <c r="B21" s="44" t="inlineStr">
        <is>
          <t>65-84</t>
        </is>
      </c>
      <c r="C21" s="44" t="inlineStr">
        <is>
          <t>Good</t>
        </is>
      </c>
    </row>
    <row r="22" ht="15" customHeight="1" s="28">
      <c r="B22" s="44" t="inlineStr">
        <is>
          <t>45-64</t>
        </is>
      </c>
      <c r="C22" s="44" t="inlineStr">
        <is>
          <t>Needs Improvement</t>
        </is>
      </c>
    </row>
    <row r="23" ht="15" customHeight="1" s="28">
      <c r="B23" s="44" t="inlineStr">
        <is>
          <t>0-44</t>
        </is>
      </c>
      <c r="C23" s="44" t="inlineStr">
        <is>
          <t>Critical</t>
        </is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6" customWidth="1" style="27" min="2" max="2"/>
    <col width="26" customWidth="1" style="27" min="3" max="3"/>
    <col width="9" customWidth="1" style="27" min="4" max="4"/>
    <col width="16" customWidth="1" style="27" min="5" max="8"/>
  </cols>
  <sheetData>
    <row r="2" ht="25.5" customHeight="1" s="28">
      <c r="A2" s="29" t="inlineStr">
        <is>
          <t>State E-Waste Management Tracker - Scoring Methodology</t>
        </is>
      </c>
    </row>
    <row r="4" ht="30" customHeight="1" s="28">
      <c r="B4" s="45" t="inlineStr">
        <is>
          <t>A 100-point scorecard for monitoring state-level e-waste generation, collection, formal treatment, compliance, and health/environmental safeguards, in line with the E-Waste (Management) Rules, 2022 (CPCB, India).</t>
        </is>
      </c>
    </row>
    <row r="6" ht="23.85" customHeight="1" s="28">
      <c r="B6" s="34" t="inlineStr">
        <is>
          <t>#</t>
        </is>
      </c>
      <c r="C6" s="34" t="inlineStr">
        <is>
          <t>Category</t>
        </is>
      </c>
      <c r="D6" s="34" t="inlineStr">
        <is>
          <t>Weight</t>
        </is>
      </c>
      <c r="E6" s="34" t="inlineStr">
        <is>
          <t>Indicators (data source sheet)</t>
        </is>
      </c>
    </row>
    <row r="7" ht="30" customHeight="1" s="28">
      <c r="B7" s="35" t="n">
        <v>1</v>
      </c>
      <c r="C7" s="46" t="inlineStr">
        <is>
          <t>Generation &amp; Inventory</t>
        </is>
      </c>
      <c r="D7" s="35" t="n">
        <v>15</v>
      </c>
      <c r="E7" s="47" t="inlineStr">
        <is>
          <t>District reporting completeness; category-wise breakup; annual inventory update  -&gt;  '1_Generation_Inventory'</t>
        </is>
      </c>
      <c r="F7" s="48" t="n"/>
      <c r="G7" s="48" t="n"/>
      <c r="H7" s="49" t="n"/>
    </row>
    <row r="8" ht="30" customHeight="1" s="28">
      <c r="B8" s="35" t="n">
        <v>2</v>
      </c>
      <c r="C8" s="46" t="inlineStr">
        <is>
          <t>Collection Performance</t>
        </is>
      </c>
      <c r="D8" s="35" t="n">
        <v>20</v>
      </c>
      <c r="E8" s="47" t="inlineStr">
        <is>
          <t>Collection rate (%); collection centers per million population; EPR collection-target achievement  -&gt;  '2_Collection_Log'</t>
        </is>
      </c>
      <c r="F8" s="48" t="n"/>
      <c r="G8" s="48" t="n"/>
      <c r="H8" s="49" t="n"/>
    </row>
    <row r="9" ht="30" customHeight="1" s="28">
      <c r="B9" s="35" t="n">
        <v>3</v>
      </c>
      <c r="C9" s="46" t="inlineStr">
        <is>
          <t>Formal Recycling &amp; Treatment</t>
        </is>
      </c>
      <c r="D9" s="35" t="n">
        <v>20</v>
      </c>
      <c r="E9" s="47" t="inlineStr">
        <is>
          <t>% processed by authorized recyclers; installed capacity vs generation; material recovery rate  -&gt;  '3_Recycling_Infrastructure'</t>
        </is>
      </c>
      <c r="F9" s="48" t="n"/>
      <c r="G9" s="48" t="n"/>
      <c r="H9" s="49" t="n"/>
    </row>
    <row r="10" ht="30" customHeight="1" s="28">
      <c r="B10" s="35" t="n">
        <v>4</v>
      </c>
      <c r="C10" s="46" t="inlineStr">
        <is>
          <t>Regulatory Compliance</t>
        </is>
      </c>
      <c r="D10" s="35" t="n">
        <v>15</v>
      </c>
      <c r="E10" s="47" t="inlineStr">
        <is>
          <t>% producers/EPR entities compliant; inspections conducted vs planned; penalties resolved  -&gt;  '4_Compliance_Tracker'</t>
        </is>
      </c>
      <c r="F10" s="48" t="n"/>
      <c r="G10" s="48" t="n"/>
      <c r="H10" s="49" t="n"/>
    </row>
    <row r="11" ht="30" customHeight="1" s="28">
      <c r="B11" s="35" t="n">
        <v>5</v>
      </c>
      <c r="C11" s="46" t="inlineStr">
        <is>
          <t>Informal Sector Integration</t>
        </is>
      </c>
      <c r="D11" s="35" t="n">
        <v>10</v>
      </c>
      <c r="E11" s="47" t="inlineStr">
        <is>
          <t>% hotspots formalized/remediated; % informal workers registered/trained  -&gt;  '5_Informal_Sector_Hotspots'</t>
        </is>
      </c>
      <c r="F11" s="48" t="n"/>
      <c r="G11" s="48" t="n"/>
      <c r="H11" s="49" t="n"/>
    </row>
    <row r="12" ht="30" customHeight="1" s="28">
      <c r="B12" s="35" t="n">
        <v>6</v>
      </c>
      <c r="C12" s="46" t="inlineStr">
        <is>
          <t>Environmental &amp; Health Safeguards</t>
        </is>
      </c>
      <c r="D12" s="35" t="n">
        <v>10</v>
      </c>
      <c r="E12" s="47" t="inlineStr">
        <is>
          <t>% hotspots environmentally monitored; health screening camps conducted  -&gt;  '6_Env_Health_Monitoring'</t>
        </is>
      </c>
      <c r="F12" s="48" t="n"/>
      <c r="G12" s="48" t="n"/>
      <c r="H12" s="49" t="n"/>
    </row>
    <row r="13" ht="30" customHeight="1" s="28">
      <c r="B13" s="35" t="n">
        <v>7</v>
      </c>
      <c r="C13" s="46" t="inlineStr">
        <is>
          <t>Awareness &amp; Outreach</t>
        </is>
      </c>
      <c r="D13" s="35" t="n">
        <v>10</v>
      </c>
      <c r="E13" s="47" t="inlineStr">
        <is>
          <t>Awareness campaigns vs target; collection drives vs target  -&gt;  '7_Awareness_Programs'</t>
        </is>
      </c>
      <c r="F13" s="48" t="n"/>
      <c r="G13" s="48" t="n"/>
      <c r="H13" s="49" t="n"/>
    </row>
    <row r="14" ht="15" customHeight="1" s="28">
      <c r="B14" s="41" t="n"/>
      <c r="C14" s="42" t="inlineStr">
        <is>
          <t>TOTAL</t>
        </is>
      </c>
      <c r="D14" s="42" t="n">
        <v>100</v>
      </c>
      <c r="E14" s="41" t="n"/>
      <c r="F14" s="41" t="n"/>
      <c r="G14" s="41" t="n"/>
      <c r="H14" s="41" t="n"/>
    </row>
    <row r="16" ht="15" customHeight="1" s="28">
      <c r="B16" s="43" t="inlineStr">
        <is>
          <t>How to use this workbook</t>
        </is>
      </c>
    </row>
    <row r="17" ht="25.5" customHeight="1" s="28">
      <c r="B17" s="50" t="inlineStr">
        <is>
          <t>- Enter data in the 7 numbered sheets (yellow cells = your input). Each sheet has one grey example row - replace/delete it.</t>
        </is>
      </c>
    </row>
    <row r="18" ht="25.5" customHeight="1" s="28">
      <c r="B18" s="50" t="inlineStr">
        <is>
          <t>- Set your benchmarks/targets on the '0_Scorecard' sheet (yellow cells) - e.g. collection centers per million population, EPR targets, inspection/campaign targets.</t>
        </is>
      </c>
    </row>
    <row r="19" ht="25.5" customHeight="1" s="28">
      <c r="B19" s="50" t="inlineStr">
        <is>
          <t>- The '0_Scorecard' sheet pulls live figures from all 7 sheets and computes the state's score out of 100 automatically. Do not overwrite formula cells.</t>
        </is>
      </c>
    </row>
    <row r="20" ht="25.5" customHeight="1" s="28">
      <c r="B20" s="50" t="inlineStr">
        <is>
          <t>- Score bands (customisable on Scorecard): 85-100 Excellent | 65-84 Good | 45-64 Needs Improvement | Below 45 Critical.</t>
        </is>
      </c>
    </row>
    <row r="21" ht="25.5" customHeight="1" s="28">
      <c r="B21" s="50" t="inlineStr">
        <is>
          <t>- Re-run this tracker every quarter/year to monitor trend - copy the Scorecard total into a tracking log for year-on-year comparison.</t>
        </is>
      </c>
    </row>
  </sheetData>
  <mergeCells count="14">
    <mergeCell ref="E9:H9"/>
    <mergeCell ref="B17:H17"/>
    <mergeCell ref="B18:H18"/>
    <mergeCell ref="E8:H8"/>
    <mergeCell ref="E10:H10"/>
    <mergeCell ref="B4:H4"/>
    <mergeCell ref="E12:H12"/>
    <mergeCell ref="B21:H21"/>
    <mergeCell ref="A2:G2"/>
    <mergeCell ref="E7:H7"/>
    <mergeCell ref="E11:H11"/>
    <mergeCell ref="B19:H19"/>
    <mergeCell ref="B20:H20"/>
    <mergeCell ref="E13:H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K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16" customWidth="1" style="27" min="2" max="2"/>
    <col width="12" customWidth="1" style="27" min="3" max="3"/>
    <col width="16" customWidth="1" style="27" min="4" max="4"/>
    <col width="20" customWidth="1" style="27" min="5" max="5"/>
    <col width="18" customWidth="1" style="27" min="6" max="6"/>
    <col width="16" customWidth="1" style="27" min="7" max="7"/>
    <col width="14" customWidth="1" style="27" min="8" max="8"/>
    <col width="12" customWidth="1" style="27" min="9" max="9"/>
    <col width="15" customWidth="1" style="27" min="10" max="10"/>
    <col width="16" customWidth="1" style="27" min="11" max="11"/>
  </cols>
  <sheetData>
    <row r="2" ht="25.5" customHeight="1" s="28">
      <c r="A2" s="29" t="inlineStr">
        <is>
          <t>Generation Inventory</t>
        </is>
      </c>
    </row>
    <row r="3" ht="15" customHeight="1" s="28">
      <c r="B3" s="30" t="inlineStr">
        <is>
          <t>One row per district. Category-wise breakup based on E-Waste (Management) Rules, 2022, Schedule I (simplified).</t>
        </is>
      </c>
    </row>
    <row r="5" ht="31.5" customHeight="1" s="28">
      <c r="B5" s="34" t="inlineStr">
        <is>
          <t>District</t>
        </is>
      </c>
      <c r="C5" s="34" t="inlineStr">
        <is>
          <t>Population</t>
        </is>
      </c>
      <c r="D5" s="34" t="inlineStr">
        <is>
          <t>IT &amp; Telecom (kg)</t>
        </is>
      </c>
      <c r="E5" s="34" t="inlineStr">
        <is>
          <t>Consumer Electrical &amp; Electronics (kg)</t>
        </is>
      </c>
      <c r="F5" s="34" t="inlineStr">
        <is>
          <t>Large &amp; Small Equipment (kg)</t>
        </is>
      </c>
      <c r="G5" s="34" t="inlineStr">
        <is>
          <t>Lighting Equipment (kg)</t>
        </is>
      </c>
      <c r="H5" s="34" t="inlineStr">
        <is>
          <t>Batteries (kg)</t>
        </is>
      </c>
      <c r="I5" s="34" t="inlineStr">
        <is>
          <t>Other (kg)</t>
        </is>
      </c>
      <c r="J5" s="34" t="inlineStr">
        <is>
          <t>Total Generated (kg)</t>
        </is>
      </c>
      <c r="K5" s="34" t="inlineStr">
        <is>
          <t>Date Last Updated</t>
        </is>
      </c>
    </row>
    <row r="6" ht="15" customHeight="1" s="28">
      <c r="B6" s="51" t="inlineStr">
        <is>
          <t>Gangtok (East Sikkim)</t>
        </is>
      </c>
      <c r="C6" s="51" t="n">
        <v>283583</v>
      </c>
      <c r="D6" s="51" t="n">
        <v>20000</v>
      </c>
      <c r="E6" s="51" t="n">
        <v>10000</v>
      </c>
      <c r="F6" s="51" t="n">
        <v>5000</v>
      </c>
      <c r="G6" s="51" t="n">
        <v>2000</v>
      </c>
      <c r="H6" s="51" t="n">
        <v>4000</v>
      </c>
      <c r="I6" s="51" t="n">
        <v>1500</v>
      </c>
      <c r="J6" s="51" t="n">
        <v>42500</v>
      </c>
      <c r="K6" s="51" t="inlineStr">
        <is>
          <t>30-06-2026</t>
        </is>
      </c>
    </row>
    <row r="7" ht="15" customHeight="1" s="28">
      <c r="B7" s="52" t="inlineStr">
        <is>
          <t>Namchi (South Sikkim)</t>
        </is>
      </c>
      <c r="C7" s="52" t="n">
        <v>146850</v>
      </c>
      <c r="D7" s="52" t="n">
        <v>6000</v>
      </c>
      <c r="E7" s="52" t="n">
        <v>3000</v>
      </c>
      <c r="F7" s="52" t="n">
        <v>1000</v>
      </c>
      <c r="G7" s="52" t="n">
        <v>500</v>
      </c>
      <c r="H7" s="52" t="n">
        <v>1000</v>
      </c>
      <c r="I7" s="52" t="n">
        <v>600</v>
      </c>
      <c r="J7" s="53" t="n">
        <v>12100</v>
      </c>
      <c r="K7" s="52" t="inlineStr">
        <is>
          <t>30-06-2026</t>
        </is>
      </c>
    </row>
    <row r="8" ht="15" customHeight="1" s="28">
      <c r="B8" s="52" t="inlineStr">
        <is>
          <t>Gyalshing (West Sikkim)</t>
        </is>
      </c>
      <c r="C8" s="52" t="n">
        <v>136299</v>
      </c>
      <c r="D8" s="52" t="n">
        <v>4000</v>
      </c>
      <c r="E8" s="52" t="n">
        <v>2000</v>
      </c>
      <c r="F8" s="52" t="n">
        <v>1000</v>
      </c>
      <c r="G8" s="52" t="n">
        <v>500</v>
      </c>
      <c r="H8" s="52" t="n">
        <v>600</v>
      </c>
      <c r="I8" s="52" t="n">
        <v>400</v>
      </c>
      <c r="J8" s="53" t="n">
        <v>8500</v>
      </c>
      <c r="K8" s="52" t="inlineStr">
        <is>
          <t>30-06-2026</t>
        </is>
      </c>
    </row>
    <row r="9" ht="15" customHeight="1" s="28">
      <c r="B9" s="52" t="inlineStr">
        <is>
          <t>Mangan (North Sikkim)</t>
        </is>
      </c>
      <c r="C9" s="52" t="n">
        <v>43709</v>
      </c>
      <c r="D9" s="52" t="n">
        <v>1000</v>
      </c>
      <c r="E9" s="52" t="n">
        <v>500</v>
      </c>
      <c r="F9" s="52" t="n">
        <v>200</v>
      </c>
      <c r="G9" s="52" t="n">
        <v>100</v>
      </c>
      <c r="H9" s="52" t="n">
        <v>400</v>
      </c>
      <c r="I9" s="52" t="n">
        <v>200</v>
      </c>
      <c r="J9" s="53" t="n">
        <v>2400</v>
      </c>
      <c r="K9" s="52" t="inlineStr">
        <is>
          <t>30-06-2026</t>
        </is>
      </c>
    </row>
    <row r="10" ht="15" customHeight="1" s="28">
      <c r="B10" s="52" t="inlineStr">
        <is>
          <t>Pakyong</t>
        </is>
      </c>
      <c r="C10" s="52" t="n">
        <v>74583</v>
      </c>
      <c r="D10" s="52" t="n">
        <v>2000</v>
      </c>
      <c r="E10" s="52" t="n">
        <v>1000</v>
      </c>
      <c r="F10" s="52" t="n">
        <v>500</v>
      </c>
      <c r="G10" s="52" t="n">
        <v>200</v>
      </c>
      <c r="H10" s="52" t="n">
        <v>300</v>
      </c>
      <c r="I10" s="52" t="n">
        <v>200</v>
      </c>
      <c r="J10" s="53" t="n">
        <v>4200</v>
      </c>
      <c r="K10" s="52" t="inlineStr">
        <is>
          <t>30-06-2026</t>
        </is>
      </c>
    </row>
    <row r="11" ht="15" customHeight="1" s="28">
      <c r="B11" s="52" t="inlineStr">
        <is>
          <t>Soreng</t>
        </is>
      </c>
      <c r="C11" s="52" t="n">
        <v>64760</v>
      </c>
      <c r="D11" s="52" t="n">
        <v>1500</v>
      </c>
      <c r="E11" s="52" t="n">
        <v>800</v>
      </c>
      <c r="F11" s="52" t="n">
        <v>400</v>
      </c>
      <c r="G11" s="52" t="n">
        <v>200</v>
      </c>
      <c r="H11" s="52" t="n">
        <v>200</v>
      </c>
      <c r="I11" s="52" t="n">
        <v>200</v>
      </c>
      <c r="J11" s="53" t="n">
        <v>3300</v>
      </c>
      <c r="K11" s="52" t="inlineStr">
        <is>
          <t>30-06-2026</t>
        </is>
      </c>
    </row>
    <row r="12" ht="15" customHeight="1" s="28">
      <c r="B12" s="52" t="n"/>
      <c r="C12" s="52" t="n"/>
      <c r="D12" s="52" t="n"/>
      <c r="E12" s="52" t="n"/>
      <c r="F12" s="52" t="n"/>
      <c r="G12" s="52" t="n"/>
      <c r="H12" s="52" t="n"/>
      <c r="I12" s="52" t="n"/>
      <c r="J12" s="53">
        <f>IF(SUM(D12:I12)=0,"",SUM(D12:I12))</f>
        <v/>
      </c>
      <c r="K12" s="52" t="n"/>
    </row>
    <row r="13" ht="15" customHeight="1" s="28"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>
        <f>IF(SUM(D13:I13)=0,"",SUM(D13:I13))</f>
        <v/>
      </c>
      <c r="K13" s="52" t="n"/>
    </row>
    <row r="14" ht="15" customHeight="1" s="28">
      <c r="B14" s="52" t="n"/>
      <c r="C14" s="52" t="n"/>
      <c r="D14" s="52" t="n"/>
      <c r="E14" s="52" t="n"/>
      <c r="F14" s="52" t="n"/>
      <c r="G14" s="52" t="n"/>
      <c r="H14" s="52" t="n"/>
      <c r="I14" s="52" t="n"/>
      <c r="J14" s="53">
        <f>IF(SUM(D14:I14)=0,"",SUM(D14:I14))</f>
        <v/>
      </c>
      <c r="K14" s="52" t="n"/>
    </row>
    <row r="15" ht="15" customHeight="1" s="28">
      <c r="B15" s="52" t="n"/>
      <c r="C15" s="52" t="n"/>
      <c r="D15" s="52" t="n"/>
      <c r="E15" s="52" t="n"/>
      <c r="F15" s="52" t="n"/>
      <c r="G15" s="52" t="n"/>
      <c r="H15" s="52" t="n"/>
      <c r="I15" s="52" t="n"/>
      <c r="J15" s="53">
        <f>IF(SUM(D15:I15)=0,"",SUM(D15:I15))</f>
        <v/>
      </c>
      <c r="K15" s="52" t="n"/>
    </row>
    <row r="16" ht="15" customHeight="1" s="28">
      <c r="B16" s="52" t="n"/>
      <c r="C16" s="52" t="n"/>
      <c r="D16" s="52" t="n"/>
      <c r="E16" s="52" t="n"/>
      <c r="F16" s="52" t="n"/>
      <c r="G16" s="52" t="n"/>
      <c r="H16" s="52" t="n"/>
      <c r="I16" s="52" t="n"/>
      <c r="J16" s="53">
        <f>IF(SUM(D16:I16)=0,"",SUM(D16:I16))</f>
        <v/>
      </c>
      <c r="K16" s="52" t="n"/>
    </row>
    <row r="17" ht="15" customHeight="1" s="28">
      <c r="B17" s="52" t="n"/>
      <c r="C17" s="52" t="n"/>
      <c r="D17" s="52" t="n"/>
      <c r="E17" s="52" t="n"/>
      <c r="F17" s="52" t="n"/>
      <c r="G17" s="52" t="n"/>
      <c r="H17" s="52" t="n"/>
      <c r="I17" s="52" t="n"/>
      <c r="J17" s="53">
        <f>IF(SUM(D17:I17)=0,"",SUM(D17:I17))</f>
        <v/>
      </c>
      <c r="K17" s="52" t="n"/>
    </row>
    <row r="18" ht="15" customHeight="1" s="28">
      <c r="B18" s="52" t="n"/>
      <c r="C18" s="52" t="n"/>
      <c r="D18" s="52" t="n"/>
      <c r="E18" s="52" t="n"/>
      <c r="F18" s="52" t="n"/>
      <c r="G18" s="52" t="n"/>
      <c r="H18" s="52" t="n"/>
      <c r="I18" s="52" t="n"/>
      <c r="J18" s="53">
        <f>IF(SUM(D18:I18)=0,"",SUM(D18:I18))</f>
        <v/>
      </c>
      <c r="K18" s="52" t="n"/>
    </row>
    <row r="19" ht="15" customHeight="1" s="28">
      <c r="B19" s="52" t="n"/>
      <c r="C19" s="52" t="n"/>
      <c r="D19" s="52" t="n"/>
      <c r="E19" s="52" t="n"/>
      <c r="F19" s="52" t="n"/>
      <c r="G19" s="52" t="n"/>
      <c r="H19" s="52" t="n"/>
      <c r="I19" s="52" t="n"/>
      <c r="J19" s="53">
        <f>IF(SUM(D19:I19)=0,"",SUM(D19:I19))</f>
        <v/>
      </c>
      <c r="K19" s="52" t="n"/>
    </row>
    <row r="20" ht="15" customHeight="1" s="28">
      <c r="B20" s="52" t="n"/>
      <c r="C20" s="52" t="n"/>
      <c r="D20" s="52" t="n"/>
      <c r="E20" s="52" t="n"/>
      <c r="F20" s="52" t="n"/>
      <c r="G20" s="52" t="n"/>
      <c r="H20" s="52" t="n"/>
      <c r="I20" s="52" t="n"/>
      <c r="J20" s="53">
        <f>IF(SUM(D20:I20)=0,"",SUM(D20:I20))</f>
        <v/>
      </c>
      <c r="K20" s="52" t="n"/>
    </row>
    <row r="21" ht="15" customHeight="1" s="28">
      <c r="B21" s="52" t="n"/>
      <c r="C21" s="52" t="n"/>
      <c r="D21" s="52" t="n"/>
      <c r="E21" s="52" t="n"/>
      <c r="F21" s="52" t="n"/>
      <c r="G21" s="52" t="n"/>
      <c r="H21" s="52" t="n"/>
      <c r="I21" s="52" t="n"/>
      <c r="J21" s="53">
        <f>IF(SUM(D21:I21)=0,"",SUM(D21:I21))</f>
        <v/>
      </c>
      <c r="K21" s="52" t="n"/>
    </row>
    <row r="22" ht="15" customHeight="1" s="28">
      <c r="B22" s="52" t="n"/>
      <c r="C22" s="52" t="n"/>
      <c r="D22" s="52" t="n"/>
      <c r="E22" s="52" t="n"/>
      <c r="F22" s="52" t="n"/>
      <c r="G22" s="52" t="n"/>
      <c r="H22" s="52" t="n"/>
      <c r="I22" s="52" t="n"/>
      <c r="J22" s="53">
        <f>IF(SUM(D22:I22)=0,"",SUM(D22:I22))</f>
        <v/>
      </c>
      <c r="K22" s="52" t="n"/>
    </row>
    <row r="23" ht="15" customHeight="1" s="28">
      <c r="B23" s="52" t="n"/>
      <c r="C23" s="52" t="n"/>
      <c r="D23" s="52" t="n"/>
      <c r="E23" s="52" t="n"/>
      <c r="F23" s="52" t="n"/>
      <c r="G23" s="52" t="n"/>
      <c r="H23" s="52" t="n"/>
      <c r="I23" s="52" t="n"/>
      <c r="J23" s="53">
        <f>IF(SUM(D23:I23)=0,"",SUM(D23:I23))</f>
        <v/>
      </c>
      <c r="K23" s="52" t="n"/>
    </row>
    <row r="24" ht="15" customHeight="1" s="28">
      <c r="B24" s="52" t="n"/>
      <c r="C24" s="52" t="n"/>
      <c r="D24" s="52" t="n"/>
      <c r="E24" s="52" t="n"/>
      <c r="F24" s="52" t="n"/>
      <c r="G24" s="52" t="n"/>
      <c r="H24" s="52" t="n"/>
      <c r="I24" s="52" t="n"/>
      <c r="J24" s="53">
        <f>IF(SUM(D24:I24)=0,"",SUM(D24:I24))</f>
        <v/>
      </c>
      <c r="K24" s="52" t="n"/>
    </row>
    <row r="25" ht="15" customHeight="1" s="28">
      <c r="B25" s="52" t="n"/>
      <c r="C25" s="52" t="n"/>
      <c r="D25" s="52" t="n"/>
      <c r="E25" s="52" t="n"/>
      <c r="F25" s="52" t="n"/>
      <c r="G25" s="52" t="n"/>
      <c r="H25" s="52" t="n"/>
      <c r="I25" s="52" t="n"/>
      <c r="J25" s="53">
        <f>IF(SUM(D25:I25)=0,"",SUM(D25:I25))</f>
        <v/>
      </c>
      <c r="K25" s="52" t="n"/>
    </row>
    <row r="26"/>
    <row r="27" ht="15" customHeight="1" s="28">
      <c r="B27" s="42" t="inlineStr">
        <is>
          <t>STATE TOTAL</t>
        </is>
      </c>
      <c r="C27" s="42">
        <f>SUM(C6:C25)</f>
        <v/>
      </c>
      <c r="D27" s="42">
        <f>SUM(D6:D25)</f>
        <v/>
      </c>
      <c r="E27" s="42">
        <f>SUM(E6:E25)</f>
        <v/>
      </c>
      <c r="F27" s="42">
        <f>SUM(F6:F25)</f>
        <v/>
      </c>
      <c r="G27" s="42">
        <f>SUM(G6:G25)</f>
        <v/>
      </c>
      <c r="H27" s="42">
        <f>SUM(H6:H25)</f>
        <v/>
      </c>
      <c r="I27" s="42">
        <f>SUM(I6:I25)</f>
        <v/>
      </c>
      <c r="J27" s="42">
        <f>SUM(J6:J25)</f>
        <v/>
      </c>
    </row>
    <row r="28"/>
    <row r="29"/>
  </sheetData>
  <mergeCells count="2">
    <mergeCell ref="B3:K3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16" customWidth="1" style="27" min="2" max="2"/>
    <col width="20" customWidth="1" style="27" min="3" max="3"/>
    <col width="13" customWidth="1" style="27" min="4" max="4"/>
    <col width="18" customWidth="1" style="27" min="5" max="5"/>
    <col width="16" customWidth="1" style="27" min="6" max="6"/>
    <col width="18" customWidth="1" style="27" min="7" max="7"/>
    <col width="30" customWidth="1" style="27" min="8" max="8"/>
  </cols>
  <sheetData>
    <row r="2" ht="25.5" customHeight="1" s="28">
      <c r="A2" s="29" t="inlineStr">
        <is>
          <t>Collection Log</t>
        </is>
      </c>
    </row>
    <row r="3" ht="15" customHeight="1" s="28">
      <c r="B3" s="30" t="inlineStr">
        <is>
          <t>One row per district. 'Generated' auto-pulls from Sheet 1 by district name - keep district names identical across sheets.</t>
        </is>
      </c>
    </row>
    <row r="5" ht="31.5" customHeight="1" s="28">
      <c r="B5" s="34" t="inlineStr">
        <is>
          <t>District</t>
        </is>
      </c>
      <c r="C5" s="34" t="inlineStr">
        <is>
          <t>Generated (kg) [from Sheet 1]</t>
        </is>
      </c>
      <c r="D5" s="34" t="inlineStr">
        <is>
          <t>Collected (kg)</t>
        </is>
      </c>
      <c r="E5" s="34" t="inlineStr">
        <is>
          <t>Registered Collection Centers</t>
        </is>
      </c>
      <c r="F5" s="34" t="inlineStr">
        <is>
          <t>EPR Collection Target (kg)</t>
        </is>
      </c>
      <c r="G5" s="34" t="inlineStr">
        <is>
          <t>EPR Collection Achieved (kg)</t>
        </is>
      </c>
      <c r="H5" s="34" t="inlineStr">
        <is>
          <t>Remarks</t>
        </is>
      </c>
    </row>
    <row r="6" ht="23.85" customHeight="1" s="28">
      <c r="B6" s="51" t="inlineStr">
        <is>
          <t>Gangtok (East Sikkim)</t>
        </is>
      </c>
      <c r="C6" s="51">
        <f>IFERROR(INDEX(1_Generation_Inventory!$J$6:$J$25,MATCH(B6,1_Generation_Inventory!$B$6:$B$25,0)),0)</f>
        <v/>
      </c>
      <c r="D6" s="51" t="n">
        <v>8500</v>
      </c>
      <c r="E6" s="51" t="n">
        <v>2</v>
      </c>
      <c r="F6" s="51" t="n">
        <v>20000</v>
      </c>
      <c r="G6" s="51" t="n">
        <v>8500</v>
      </c>
      <c r="H6" s="51" t="inlineStr">
        <is>
          <t>Mostly institutional</t>
        </is>
      </c>
    </row>
    <row r="7" ht="15" customHeight="1" s="28">
      <c r="B7" s="52" t="inlineStr">
        <is>
          <t>Namchi (South Sikkim)</t>
        </is>
      </c>
      <c r="C7" s="53">
        <f>IFERROR(INDEX(1_Generation_Inventory!$J$6:$J$25,MATCH(B7,1_Generation_Inventory!$B$6:$B$25,0)),"")</f>
        <v/>
      </c>
      <c r="D7" s="52" t="n">
        <v>2100</v>
      </c>
      <c r="E7" s="52" t="n">
        <v>0</v>
      </c>
      <c r="F7" s="52" t="n">
        <v>5000</v>
      </c>
      <c r="G7" s="52" t="n">
        <v>2100</v>
      </c>
      <c r="H7" s="52" t="inlineStr">
        <is>
          <t>Limited household collection</t>
        </is>
      </c>
    </row>
    <row r="8" ht="15" customHeight="1" s="28">
      <c r="B8" s="52" t="inlineStr">
        <is>
          <t>Gyalshing (West Sikkim)</t>
        </is>
      </c>
      <c r="C8" s="53">
        <f>IFERROR(INDEX(1_Generation_Inventory!$J$6:$J$25,MATCH(B8,1_Generation_Inventory!$B$6:$B$25,0)),"")</f>
        <v/>
      </c>
      <c r="D8" s="52" t="n">
        <v>1200</v>
      </c>
      <c r="E8" s="52" t="n">
        <v>0</v>
      </c>
      <c r="F8" s="52" t="n">
        <v>2000</v>
      </c>
      <c r="G8" s="52" t="n">
        <v>1200</v>
      </c>
      <c r="H8" s="52" t="inlineStr"/>
    </row>
    <row r="9" ht="15" customHeight="1" s="28">
      <c r="B9" s="52" t="inlineStr">
        <is>
          <t>Mangan (North Sikkim)</t>
        </is>
      </c>
      <c r="C9" s="53">
        <f>IFERROR(INDEX(1_Generation_Inventory!$J$6:$J$25,MATCH(B9,1_Generation_Inventory!$B$6:$B$25,0)),"")</f>
        <v/>
      </c>
      <c r="D9" s="52" t="n">
        <v>500</v>
      </c>
      <c r="E9" s="52" t="n">
        <v>0</v>
      </c>
      <c r="F9" s="52" t="n">
        <v>1000</v>
      </c>
      <c r="G9" s="52" t="n">
        <v>500</v>
      </c>
      <c r="H9" s="52" t="inlineStr"/>
    </row>
    <row r="10" ht="15" customHeight="1" s="28">
      <c r="B10" s="52" t="inlineStr">
        <is>
          <t>Pakyong</t>
        </is>
      </c>
      <c r="C10" s="53">
        <f>IFERROR(INDEX(1_Generation_Inventory!$J$6:$J$25,MATCH(B10,1_Generation_Inventory!$B$6:$B$25,0)),"")</f>
        <v/>
      </c>
      <c r="D10" s="52" t="n">
        <v>800</v>
      </c>
      <c r="E10" s="52" t="n">
        <v>0</v>
      </c>
      <c r="F10" s="52" t="n">
        <v>1000</v>
      </c>
      <c r="G10" s="52" t="n">
        <v>800</v>
      </c>
      <c r="H10" s="52" t="inlineStr"/>
    </row>
    <row r="11" ht="15" customHeight="1" s="28">
      <c r="B11" s="52" t="inlineStr">
        <is>
          <t>Soreng</t>
        </is>
      </c>
      <c r="C11" s="53">
        <f>IFERROR(INDEX(1_Generation_Inventory!$J$6:$J$25,MATCH(B11,1_Generation_Inventory!$B$6:$B$25,0)),"")</f>
        <v/>
      </c>
      <c r="D11" s="52" t="n">
        <v>900</v>
      </c>
      <c r="E11" s="52" t="n">
        <v>0</v>
      </c>
      <c r="F11" s="52" t="n">
        <v>1000</v>
      </c>
      <c r="G11" s="52" t="n">
        <v>900</v>
      </c>
      <c r="H11" s="52" t="inlineStr"/>
    </row>
    <row r="12" ht="15" customHeight="1" s="28">
      <c r="B12" s="52" t="n"/>
      <c r="C12" s="53">
        <f>IFERROR(INDEX(1_Generation_Inventory!$J$6:$J$25,MATCH(B12,1_Generation_Inventory!$B$6:$B$25,0)),"")</f>
        <v/>
      </c>
      <c r="D12" s="52" t="n"/>
      <c r="E12" s="52" t="n"/>
      <c r="F12" s="52" t="n"/>
      <c r="G12" s="52" t="n"/>
      <c r="H12" s="52" t="n"/>
    </row>
    <row r="13" ht="15" customHeight="1" s="28">
      <c r="B13" s="52" t="n"/>
      <c r="C13" s="53">
        <f>IFERROR(INDEX(1_Generation_Inventory!$J$6:$J$25,MATCH(B13,1_Generation_Inventory!$B$6:$B$25,0)),"")</f>
        <v/>
      </c>
      <c r="D13" s="52" t="n"/>
      <c r="E13" s="52" t="n"/>
      <c r="F13" s="52" t="n"/>
      <c r="G13" s="52" t="n"/>
      <c r="H13" s="52" t="n"/>
    </row>
    <row r="14" ht="15" customHeight="1" s="28">
      <c r="B14" s="52" t="n"/>
      <c r="C14" s="53">
        <f>IFERROR(INDEX(1_Generation_Inventory!$J$6:$J$25,MATCH(B14,1_Generation_Inventory!$B$6:$B$25,0)),"")</f>
        <v/>
      </c>
      <c r="D14" s="52" t="n"/>
      <c r="E14" s="52" t="n"/>
      <c r="F14" s="52" t="n"/>
      <c r="G14" s="52" t="n"/>
      <c r="H14" s="52" t="n"/>
    </row>
    <row r="15" ht="15" customHeight="1" s="28">
      <c r="B15" s="52" t="n"/>
      <c r="C15" s="53">
        <f>IFERROR(INDEX(1_Generation_Inventory!$J$6:$J$25,MATCH(B15,1_Generation_Inventory!$B$6:$B$25,0)),"")</f>
        <v/>
      </c>
      <c r="D15" s="52" t="n"/>
      <c r="E15" s="52" t="n"/>
      <c r="F15" s="52" t="n"/>
      <c r="G15" s="52" t="n"/>
      <c r="H15" s="52" t="n"/>
    </row>
    <row r="16" ht="15" customHeight="1" s="28">
      <c r="B16" s="52" t="n"/>
      <c r="C16" s="53">
        <f>IFERROR(INDEX(1_Generation_Inventory!$J$6:$J$25,MATCH(B16,1_Generation_Inventory!$B$6:$B$25,0)),"")</f>
        <v/>
      </c>
      <c r="D16" s="52" t="n"/>
      <c r="E16" s="52" t="n"/>
      <c r="F16" s="52" t="n"/>
      <c r="G16" s="52" t="n"/>
      <c r="H16" s="52" t="n"/>
    </row>
    <row r="17" ht="15" customHeight="1" s="28">
      <c r="B17" s="52" t="n"/>
      <c r="C17" s="53">
        <f>IFERROR(INDEX(1_Generation_Inventory!$J$6:$J$25,MATCH(B17,1_Generation_Inventory!$B$6:$B$25,0)),"")</f>
        <v/>
      </c>
      <c r="D17" s="52" t="n"/>
      <c r="E17" s="52" t="n"/>
      <c r="F17" s="52" t="n"/>
      <c r="G17" s="52" t="n"/>
      <c r="H17" s="52" t="n"/>
    </row>
    <row r="18" ht="15" customHeight="1" s="28">
      <c r="B18" s="52" t="n"/>
      <c r="C18" s="53">
        <f>IFERROR(INDEX(1_Generation_Inventory!$J$6:$J$25,MATCH(B18,1_Generation_Inventory!$B$6:$B$25,0)),"")</f>
        <v/>
      </c>
      <c r="D18" s="52" t="n"/>
      <c r="E18" s="52" t="n"/>
      <c r="F18" s="52" t="n"/>
      <c r="G18" s="52" t="n"/>
      <c r="H18" s="52" t="n"/>
    </row>
    <row r="19" ht="15" customHeight="1" s="28">
      <c r="B19" s="52" t="n"/>
      <c r="C19" s="53">
        <f>IFERROR(INDEX(1_Generation_Inventory!$J$6:$J$25,MATCH(B19,1_Generation_Inventory!$B$6:$B$25,0)),"")</f>
        <v/>
      </c>
      <c r="D19" s="52" t="n"/>
      <c r="E19" s="52" t="n"/>
      <c r="F19" s="52" t="n"/>
      <c r="G19" s="52" t="n"/>
      <c r="H19" s="52" t="n"/>
    </row>
    <row r="20" ht="15" customHeight="1" s="28">
      <c r="B20" s="52" t="n"/>
      <c r="C20" s="53">
        <f>IFERROR(INDEX(1_Generation_Inventory!$J$6:$J$25,MATCH(B20,1_Generation_Inventory!$B$6:$B$25,0)),"")</f>
        <v/>
      </c>
      <c r="D20" s="52" t="n"/>
      <c r="E20" s="52" t="n"/>
      <c r="F20" s="52" t="n"/>
      <c r="G20" s="52" t="n"/>
      <c r="H20" s="52" t="n"/>
    </row>
    <row r="21" ht="15" customHeight="1" s="28">
      <c r="B21" s="52" t="n"/>
      <c r="C21" s="53">
        <f>IFERROR(INDEX(1_Generation_Inventory!$J$6:$J$25,MATCH(B21,1_Generation_Inventory!$B$6:$B$25,0)),"")</f>
        <v/>
      </c>
      <c r="D21" s="52" t="n"/>
      <c r="E21" s="52" t="n"/>
      <c r="F21" s="52" t="n"/>
      <c r="G21" s="52" t="n"/>
      <c r="H21" s="52" t="n"/>
    </row>
    <row r="22" ht="15" customHeight="1" s="28">
      <c r="B22" s="52" t="n"/>
      <c r="C22" s="53">
        <f>IFERROR(INDEX(1_Generation_Inventory!$J$6:$J$25,MATCH(B22,1_Generation_Inventory!$B$6:$B$25,0)),"")</f>
        <v/>
      </c>
      <c r="D22" s="52" t="n"/>
      <c r="E22" s="52" t="n"/>
      <c r="F22" s="52" t="n"/>
      <c r="G22" s="52" t="n"/>
      <c r="H22" s="52" t="n"/>
    </row>
    <row r="23" ht="15" customHeight="1" s="28">
      <c r="B23" s="52" t="n"/>
      <c r="C23" s="53">
        <f>IFERROR(INDEX(1_Generation_Inventory!$J$6:$J$25,MATCH(B23,1_Generation_Inventory!$B$6:$B$25,0)),"")</f>
        <v/>
      </c>
      <c r="D23" s="52" t="n"/>
      <c r="E23" s="52" t="n"/>
      <c r="F23" s="52" t="n"/>
      <c r="G23" s="52" t="n"/>
      <c r="H23" s="52" t="n"/>
    </row>
    <row r="24" ht="15" customHeight="1" s="28">
      <c r="B24" s="52" t="n"/>
      <c r="C24" s="53">
        <f>IFERROR(INDEX(1_Generation_Inventory!$J$6:$J$25,MATCH(B24,1_Generation_Inventory!$B$6:$B$25,0)),"")</f>
        <v/>
      </c>
      <c r="D24" s="52" t="n"/>
      <c r="E24" s="52" t="n"/>
      <c r="F24" s="52" t="n"/>
      <c r="G24" s="52" t="n"/>
      <c r="H24" s="52" t="n"/>
    </row>
    <row r="25" ht="15" customHeight="1" s="28">
      <c r="B25" s="52" t="n"/>
      <c r="C25" s="53">
        <f>IFERROR(INDEX(1_Generation_Inventory!$J$6:$J$25,MATCH(B25,1_Generation_Inventory!$B$6:$B$25,0)),"")</f>
        <v/>
      </c>
      <c r="D25" s="52" t="n"/>
      <c r="E25" s="52" t="n"/>
      <c r="F25" s="52" t="n"/>
      <c r="G25" s="52" t="n"/>
      <c r="H25" s="52" t="n"/>
    </row>
    <row r="26"/>
    <row r="27" ht="15" customHeight="1" s="28">
      <c r="B27" s="42" t="inlineStr">
        <is>
          <t>STATE TOTAL</t>
        </is>
      </c>
      <c r="C27" s="42">
        <f>SUM(C6:C25)</f>
        <v/>
      </c>
      <c r="D27" s="42">
        <f>SUM(D6:D25)</f>
        <v/>
      </c>
      <c r="E27" s="42">
        <f>SUM(E6:E25)</f>
        <v/>
      </c>
      <c r="F27" s="42">
        <f>SUM(F6:F25)</f>
        <v/>
      </c>
      <c r="G27" s="42">
        <f>SUM(G6:G25)</f>
        <v/>
      </c>
    </row>
    <row r="28"/>
    <row r="29"/>
  </sheetData>
  <mergeCells count="2">
    <mergeCell ref="B3:H3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28" customWidth="1" style="27" min="2" max="2"/>
    <col width="22" customWidth="1" style="27" min="3" max="3"/>
    <col width="14" customWidth="1" style="27" min="4" max="4"/>
    <col width="16" customWidth="1" style="27" min="5" max="5"/>
    <col width="20" customWidth="1" style="27" min="6" max="6"/>
    <col width="18" customWidth="1" style="27" min="7" max="8"/>
  </cols>
  <sheetData>
    <row r="2" ht="25.5" customHeight="1" s="28">
      <c r="A2" s="29" t="inlineStr">
        <is>
          <t>Recycling Infrastructure</t>
        </is>
      </c>
    </row>
    <row r="3" ht="15" customHeight="1" s="28">
      <c r="B3" s="30" t="inlineStr">
        <is>
          <t>One row per CPCB/SPCB-authorized recycler or dismantler operating in the state.</t>
        </is>
      </c>
    </row>
    <row r="5" ht="31.5" customHeight="1" s="28">
      <c r="B5" s="34" t="inlineStr">
        <is>
          <t>Recycler / Dismantler Name</t>
        </is>
      </c>
      <c r="C5" s="34" t="inlineStr">
        <is>
          <t>CPCB/SPCB Authorization No.</t>
        </is>
      </c>
      <c r="D5" s="34" t="inlineStr">
        <is>
          <t>District</t>
        </is>
      </c>
      <c r="E5" s="34" t="inlineStr">
        <is>
          <t>Installed Capacity (tonnes/yr)</t>
        </is>
      </c>
      <c r="F5" s="34" t="inlineStr">
        <is>
          <t>Quantity Processed This Year (tonnes)</t>
        </is>
      </c>
      <c r="G5" s="34" t="inlineStr">
        <is>
          <t>Material Recovery Rate (%)</t>
        </is>
      </c>
      <c r="H5" s="34" t="inlineStr">
        <is>
          <t>Authorization Valid Till</t>
        </is>
      </c>
    </row>
    <row r="6" ht="23.85" customHeight="1" s="28">
      <c r="B6" s="51" t="inlineStr">
        <is>
          <t>No Local Facilities - Transported to West Bengal</t>
        </is>
      </c>
      <c r="C6" s="51" t="inlineStr">
        <is>
          <t>SK/WB-Auth/2026</t>
        </is>
      </c>
      <c r="D6" s="51" t="inlineStr">
        <is>
          <t>All Districts</t>
        </is>
      </c>
      <c r="E6" s="51" t="n">
        <v>100</v>
      </c>
      <c r="F6" s="51" t="n">
        <v>24.1</v>
      </c>
      <c r="G6" s="54" t="inlineStr">
        <is>
          <t>N/A</t>
        </is>
      </c>
      <c r="H6" s="51" t="inlineStr">
        <is>
          <t>31-12-2027</t>
        </is>
      </c>
    </row>
    <row r="7" ht="15" customHeight="1" s="28">
      <c r="B7" s="52" t="n"/>
      <c r="C7" s="52" t="n"/>
      <c r="D7" s="52" t="n"/>
      <c r="E7" s="52" t="n"/>
      <c r="F7" s="52" t="n"/>
      <c r="G7" s="55" t="n"/>
      <c r="H7" s="52" t="n"/>
    </row>
    <row r="8" ht="15" customHeight="1" s="28">
      <c r="B8" s="52" t="n"/>
      <c r="C8" s="52" t="n"/>
      <c r="D8" s="52" t="n"/>
      <c r="E8" s="52" t="n"/>
      <c r="F8" s="52" t="n"/>
      <c r="G8" s="55" t="n"/>
      <c r="H8" s="52" t="n"/>
    </row>
    <row r="9" ht="15" customHeight="1" s="28">
      <c r="B9" s="52" t="n"/>
      <c r="C9" s="52" t="n"/>
      <c r="D9" s="52" t="n"/>
      <c r="E9" s="52" t="n"/>
      <c r="F9" s="52" t="n"/>
      <c r="G9" s="55" t="n"/>
      <c r="H9" s="52" t="n"/>
    </row>
    <row r="10" ht="15" customHeight="1" s="28">
      <c r="B10" s="52" t="n"/>
      <c r="C10" s="52" t="n"/>
      <c r="D10" s="52" t="n"/>
      <c r="E10" s="52" t="n"/>
      <c r="F10" s="52" t="n"/>
      <c r="G10" s="55" t="n"/>
      <c r="H10" s="52" t="n"/>
    </row>
    <row r="11" ht="15" customHeight="1" s="28">
      <c r="B11" s="52" t="n"/>
      <c r="C11" s="52" t="n"/>
      <c r="D11" s="52" t="n"/>
      <c r="E11" s="52" t="n"/>
      <c r="F11" s="52" t="n"/>
      <c r="G11" s="55" t="n"/>
      <c r="H11" s="52" t="n"/>
    </row>
    <row r="12" ht="15" customHeight="1" s="28">
      <c r="B12" s="52" t="n"/>
      <c r="C12" s="52" t="n"/>
      <c r="D12" s="52" t="n"/>
      <c r="E12" s="52" t="n"/>
      <c r="F12" s="52" t="n"/>
      <c r="G12" s="55" t="n"/>
      <c r="H12" s="52" t="n"/>
    </row>
    <row r="13" ht="15" customHeight="1" s="28">
      <c r="B13" s="52" t="n"/>
      <c r="C13" s="52" t="n"/>
      <c r="D13" s="52" t="n"/>
      <c r="E13" s="52" t="n"/>
      <c r="F13" s="52" t="n"/>
      <c r="G13" s="55" t="n"/>
      <c r="H13" s="52" t="n"/>
    </row>
    <row r="14" ht="15" customHeight="1" s="28">
      <c r="B14" s="52" t="n"/>
      <c r="C14" s="52" t="n"/>
      <c r="D14" s="52" t="n"/>
      <c r="E14" s="52" t="n"/>
      <c r="F14" s="52" t="n"/>
      <c r="G14" s="55" t="n"/>
      <c r="H14" s="52" t="n"/>
    </row>
    <row r="15" ht="15" customHeight="1" s="28">
      <c r="B15" s="52" t="n"/>
      <c r="C15" s="52" t="n"/>
      <c r="D15" s="52" t="n"/>
      <c r="E15" s="52" t="n"/>
      <c r="F15" s="52" t="n"/>
      <c r="G15" s="55" t="n"/>
      <c r="H15" s="52" t="n"/>
    </row>
    <row r="16" ht="15" customHeight="1" s="28">
      <c r="B16" s="52" t="n"/>
      <c r="C16" s="52" t="n"/>
      <c r="D16" s="52" t="n"/>
      <c r="E16" s="52" t="n"/>
      <c r="F16" s="52" t="n"/>
      <c r="G16" s="55" t="n"/>
      <c r="H16" s="52" t="n"/>
    </row>
    <row r="17" ht="15" customHeight="1" s="28">
      <c r="B17" s="52" t="n"/>
      <c r="C17" s="52" t="n"/>
      <c r="D17" s="52" t="n"/>
      <c r="E17" s="52" t="n"/>
      <c r="F17" s="52" t="n"/>
      <c r="G17" s="55" t="n"/>
      <c r="H17" s="52" t="n"/>
    </row>
    <row r="18" ht="15" customHeight="1" s="28">
      <c r="B18" s="52" t="n"/>
      <c r="C18" s="52" t="n"/>
      <c r="D18" s="52" t="n"/>
      <c r="E18" s="52" t="n"/>
      <c r="F18" s="52" t="n"/>
      <c r="G18" s="55" t="n"/>
      <c r="H18" s="52" t="n"/>
    </row>
    <row r="19" ht="15" customHeight="1" s="28">
      <c r="B19" s="52" t="n"/>
      <c r="C19" s="52" t="n"/>
      <c r="D19" s="52" t="n"/>
      <c r="E19" s="52" t="n"/>
      <c r="F19" s="52" t="n"/>
      <c r="G19" s="55" t="n"/>
      <c r="H19" s="52" t="n"/>
    </row>
    <row r="20" ht="15" customHeight="1" s="28">
      <c r="B20" s="52" t="n"/>
      <c r="C20" s="52" t="n"/>
      <c r="D20" s="52" t="n"/>
      <c r="E20" s="52" t="n"/>
      <c r="F20" s="52" t="n"/>
      <c r="G20" s="55" t="n"/>
      <c r="H20" s="52" t="n"/>
    </row>
    <row r="21" ht="15" customHeight="1" s="28">
      <c r="B21" s="52" t="n"/>
      <c r="C21" s="52" t="n"/>
      <c r="D21" s="52" t="n"/>
      <c r="E21" s="52" t="n"/>
      <c r="F21" s="52" t="n"/>
      <c r="G21" s="55" t="n"/>
      <c r="H21" s="52" t="n"/>
    </row>
    <row r="22" ht="15" customHeight="1" s="28">
      <c r="B22" s="52" t="n"/>
      <c r="C22" s="52" t="n"/>
      <c r="D22" s="52" t="n"/>
      <c r="E22" s="52" t="n"/>
      <c r="F22" s="52" t="n"/>
      <c r="G22" s="55" t="n"/>
      <c r="H22" s="52" t="n"/>
    </row>
    <row r="23" ht="15" customHeight="1" s="28">
      <c r="B23" s="52" t="n"/>
      <c r="C23" s="52" t="n"/>
      <c r="D23" s="52" t="n"/>
      <c r="E23" s="52" t="n"/>
      <c r="F23" s="52" t="n"/>
      <c r="G23" s="55" t="n"/>
      <c r="H23" s="52" t="n"/>
    </row>
    <row r="24" ht="15" customHeight="1" s="28">
      <c r="B24" s="52" t="n"/>
      <c r="C24" s="52" t="n"/>
      <c r="D24" s="52" t="n"/>
      <c r="E24" s="52" t="n"/>
      <c r="F24" s="52" t="n"/>
      <c r="G24" s="55" t="n"/>
      <c r="H24" s="52" t="n"/>
    </row>
    <row r="25" ht="15" customHeight="1" s="28">
      <c r="B25" s="52" t="n"/>
      <c r="C25" s="52" t="n"/>
      <c r="D25" s="52" t="n"/>
      <c r="E25" s="52" t="n"/>
      <c r="F25" s="52" t="n"/>
      <c r="G25" s="55" t="n"/>
      <c r="H25" s="52" t="n"/>
    </row>
    <row r="26" ht="15" customHeight="1" s="28">
      <c r="B26" s="52" t="n"/>
      <c r="C26" s="52" t="n"/>
      <c r="D26" s="52" t="n"/>
      <c r="E26" s="52" t="n"/>
      <c r="F26" s="52" t="n"/>
      <c r="G26" s="55" t="n"/>
      <c r="H26" s="52" t="n"/>
    </row>
    <row r="28" ht="15" customHeight="1" s="28">
      <c r="B28" s="42" t="inlineStr">
        <is>
          <t>STATE TOTAL</t>
        </is>
      </c>
      <c r="D28" s="42">
        <f>SUM(D6:D26)</f>
        <v/>
      </c>
      <c r="E28" s="42">
        <f>SUM(E6:E26)</f>
        <v/>
      </c>
      <c r="F28" s="56">
        <f>IFERROR(AVERAGE(F6:F26),0)</f>
        <v/>
      </c>
    </row>
  </sheetData>
  <mergeCells count="2">
    <mergeCell ref="B3:H3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2:I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26" customWidth="1" style="27" min="2" max="2"/>
    <col width="20" customWidth="1" style="27" min="3" max="3"/>
    <col width="18" customWidth="1" style="27" min="4" max="4"/>
    <col width="16" customWidth="1" style="27" min="5" max="5"/>
    <col width="18" customWidth="1" style="27" min="6" max="6"/>
    <col width="22" customWidth="1" style="27" min="7" max="7"/>
    <col width="18" customWidth="1" style="27" min="8" max="8"/>
    <col width="28" customWidth="1" style="27" min="9" max="9"/>
  </cols>
  <sheetData>
    <row r="2" ht="25.5" customHeight="1" s="28">
      <c r="A2" s="29" t="inlineStr">
        <is>
          <t>Compliance Tracker</t>
        </is>
      </c>
    </row>
    <row r="3" ht="15" customHeight="1" s="28">
      <c r="B3" s="30" t="inlineStr">
        <is>
          <t>One row per registered producer / EPR entity operating in the state.</t>
        </is>
      </c>
    </row>
    <row r="5" ht="31.5" customHeight="1" s="28">
      <c r="B5" s="34" t="inlineStr">
        <is>
          <t>Producer / EPR Entity</t>
        </is>
      </c>
      <c r="C5" s="34" t="inlineStr">
        <is>
          <t>EPR Registration No.</t>
        </is>
      </c>
      <c r="D5" s="34" t="inlineStr">
        <is>
          <t>Compliance Status</t>
        </is>
      </c>
      <c r="E5" s="34" t="inlineStr">
        <is>
          <t>Inspection Planned (Y/N)</t>
        </is>
      </c>
      <c r="F5" s="34" t="inlineStr">
        <is>
          <t>Inspection Conducted (Y/N)</t>
        </is>
      </c>
      <c r="G5" s="34" t="inlineStr">
        <is>
          <t>Penalty / Show-Cause Issued (Y/N)</t>
        </is>
      </c>
      <c r="H5" s="34" t="inlineStr">
        <is>
          <t>Penalty Resolved (Y/N)</t>
        </is>
      </c>
      <c r="I5" s="34" t="inlineStr">
        <is>
          <t>Remarks</t>
        </is>
      </c>
    </row>
    <row r="6" ht="15" customHeight="1" s="28">
      <c r="B6" s="51" t="inlineStr">
        <is>
          <t>Entity A</t>
        </is>
      </c>
      <c r="C6" s="51" t="inlineStr">
        <is>
          <t>EPR/SK/001</t>
        </is>
      </c>
      <c r="D6" s="51" t="inlineStr">
        <is>
          <t>Compliant</t>
        </is>
      </c>
      <c r="E6" s="51" t="inlineStr">
        <is>
          <t>Y</t>
        </is>
      </c>
      <c r="F6" s="51" t="inlineStr">
        <is>
          <t>Y</t>
        </is>
      </c>
      <c r="G6" s="51" t="inlineStr">
        <is>
          <t>N</t>
        </is>
      </c>
      <c r="H6" s="51" t="inlineStr">
        <is>
          <t>Y</t>
        </is>
      </c>
      <c r="I6" s="51" t="inlineStr"/>
    </row>
    <row r="7" ht="15" customHeight="1" s="28">
      <c r="B7" s="52" t="inlineStr">
        <is>
          <t>Entity B</t>
        </is>
      </c>
      <c r="C7" s="52" t="inlineStr">
        <is>
          <t>EPR/SK/002</t>
        </is>
      </c>
      <c r="D7" s="52" t="inlineStr">
        <is>
          <t>Non-Compliant</t>
        </is>
      </c>
      <c r="E7" s="52" t="inlineStr">
        <is>
          <t>Y</t>
        </is>
      </c>
      <c r="F7" s="52" t="inlineStr">
        <is>
          <t>N</t>
        </is>
      </c>
      <c r="G7" s="52" t="inlineStr">
        <is>
          <t>Y</t>
        </is>
      </c>
      <c r="H7" s="52" t="inlineStr">
        <is>
          <t>N</t>
        </is>
      </c>
      <c r="I7" s="52" t="inlineStr">
        <is>
          <t>Notice served</t>
        </is>
      </c>
    </row>
    <row r="8" ht="15" customHeight="1" s="28">
      <c r="B8" s="52" t="n"/>
      <c r="C8" s="52" t="n"/>
      <c r="D8" s="52" t="n"/>
      <c r="E8" s="52" t="n"/>
      <c r="F8" s="52" t="n"/>
      <c r="G8" s="52" t="n"/>
      <c r="H8" s="52" t="n"/>
      <c r="I8" s="52" t="n"/>
    </row>
    <row r="9" ht="15" customHeight="1" s="28">
      <c r="B9" s="52" t="n"/>
      <c r="C9" s="52" t="n"/>
      <c r="D9" s="52" t="n"/>
      <c r="E9" s="52" t="n"/>
      <c r="F9" s="52" t="n"/>
      <c r="G9" s="52" t="n"/>
      <c r="H9" s="52" t="n"/>
      <c r="I9" s="52" t="n"/>
    </row>
    <row r="10" ht="15" customHeight="1" s="28">
      <c r="B10" s="52" t="n"/>
      <c r="C10" s="52" t="n"/>
      <c r="D10" s="52" t="n"/>
      <c r="E10" s="52" t="n"/>
      <c r="F10" s="52" t="n"/>
      <c r="G10" s="52" t="n"/>
      <c r="H10" s="52" t="n"/>
      <c r="I10" s="52" t="n"/>
    </row>
    <row r="11" ht="15" customHeight="1" s="28">
      <c r="B11" s="52" t="n"/>
      <c r="C11" s="52" t="n"/>
      <c r="D11" s="52" t="n"/>
      <c r="E11" s="52" t="n"/>
      <c r="F11" s="52" t="n"/>
      <c r="G11" s="52" t="n"/>
      <c r="H11" s="52" t="n"/>
      <c r="I11" s="52" t="n"/>
    </row>
    <row r="12" ht="15" customHeight="1" s="28">
      <c r="B12" s="52" t="n"/>
      <c r="C12" s="52" t="n"/>
      <c r="D12" s="52" t="n"/>
      <c r="E12" s="52" t="n"/>
      <c r="F12" s="52" t="n"/>
      <c r="G12" s="52" t="n"/>
      <c r="H12" s="52" t="n"/>
      <c r="I12" s="52" t="n"/>
    </row>
    <row r="13" ht="15" customHeight="1" s="28">
      <c r="B13" s="52" t="n"/>
      <c r="C13" s="52" t="n"/>
      <c r="D13" s="52" t="n"/>
      <c r="E13" s="52" t="n"/>
      <c r="F13" s="52" t="n"/>
      <c r="G13" s="52" t="n"/>
      <c r="H13" s="52" t="n"/>
      <c r="I13" s="52" t="n"/>
    </row>
    <row r="14" ht="15" customHeight="1" s="28">
      <c r="B14" s="52" t="n"/>
      <c r="C14" s="52" t="n"/>
      <c r="D14" s="52" t="n"/>
      <c r="E14" s="52" t="n"/>
      <c r="F14" s="52" t="n"/>
      <c r="G14" s="52" t="n"/>
      <c r="H14" s="52" t="n"/>
      <c r="I14" s="52" t="n"/>
    </row>
    <row r="15" ht="15" customHeight="1" s="28">
      <c r="B15" s="52" t="n"/>
      <c r="C15" s="52" t="n"/>
      <c r="D15" s="52" t="n"/>
      <c r="E15" s="52" t="n"/>
      <c r="F15" s="52" t="n"/>
      <c r="G15" s="52" t="n"/>
      <c r="H15" s="52" t="n"/>
      <c r="I15" s="52" t="n"/>
    </row>
    <row r="16" ht="15" customHeight="1" s="28">
      <c r="B16" s="52" t="n"/>
      <c r="C16" s="52" t="n"/>
      <c r="D16" s="52" t="n"/>
      <c r="E16" s="52" t="n"/>
      <c r="F16" s="52" t="n"/>
      <c r="G16" s="52" t="n"/>
      <c r="H16" s="52" t="n"/>
      <c r="I16" s="52" t="n"/>
    </row>
    <row r="17" ht="15" customHeight="1" s="28">
      <c r="B17" s="52" t="n"/>
      <c r="C17" s="52" t="n"/>
      <c r="D17" s="52" t="n"/>
      <c r="E17" s="52" t="n"/>
      <c r="F17" s="52" t="n"/>
      <c r="G17" s="52" t="n"/>
      <c r="H17" s="52" t="n"/>
      <c r="I17" s="52" t="n"/>
    </row>
    <row r="18" ht="15" customHeight="1" s="28">
      <c r="B18" s="52" t="n"/>
      <c r="C18" s="52" t="n"/>
      <c r="D18" s="52" t="n"/>
      <c r="E18" s="52" t="n"/>
      <c r="F18" s="52" t="n"/>
      <c r="G18" s="52" t="n"/>
      <c r="H18" s="52" t="n"/>
      <c r="I18" s="52" t="n"/>
    </row>
    <row r="19" ht="15" customHeight="1" s="28">
      <c r="B19" s="52" t="n"/>
      <c r="C19" s="52" t="n"/>
      <c r="D19" s="52" t="n"/>
      <c r="E19" s="52" t="n"/>
      <c r="F19" s="52" t="n"/>
      <c r="G19" s="52" t="n"/>
      <c r="H19" s="52" t="n"/>
      <c r="I19" s="52" t="n"/>
    </row>
    <row r="20" ht="15" customHeight="1" s="28">
      <c r="B20" s="52" t="n"/>
      <c r="C20" s="52" t="n"/>
      <c r="D20" s="52" t="n"/>
      <c r="E20" s="52" t="n"/>
      <c r="F20" s="52" t="n"/>
      <c r="G20" s="52" t="n"/>
      <c r="H20" s="52" t="n"/>
      <c r="I20" s="52" t="n"/>
    </row>
    <row r="21" ht="15" customHeight="1" s="28">
      <c r="B21" s="52" t="n"/>
      <c r="C21" s="52" t="n"/>
      <c r="D21" s="52" t="n"/>
      <c r="E21" s="52" t="n"/>
      <c r="F21" s="52" t="n"/>
      <c r="G21" s="52" t="n"/>
      <c r="H21" s="52" t="n"/>
      <c r="I21" s="52" t="n"/>
    </row>
    <row r="22" ht="15" customHeight="1" s="28">
      <c r="B22" s="52" t="n"/>
      <c r="C22" s="52" t="n"/>
      <c r="D22" s="52" t="n"/>
      <c r="E22" s="52" t="n"/>
      <c r="F22" s="52" t="n"/>
      <c r="G22" s="52" t="n"/>
      <c r="H22" s="52" t="n"/>
      <c r="I22" s="52" t="n"/>
    </row>
    <row r="23" ht="15" customHeight="1" s="28">
      <c r="B23" s="52" t="n"/>
      <c r="C23" s="52" t="n"/>
      <c r="D23" s="52" t="n"/>
      <c r="E23" s="52" t="n"/>
      <c r="F23" s="52" t="n"/>
      <c r="G23" s="52" t="n"/>
      <c r="H23" s="52" t="n"/>
      <c r="I23" s="52" t="n"/>
    </row>
    <row r="24" ht="15" customHeight="1" s="28">
      <c r="B24" s="52" t="n"/>
      <c r="C24" s="52" t="n"/>
      <c r="D24" s="52" t="n"/>
      <c r="E24" s="52" t="n"/>
      <c r="F24" s="52" t="n"/>
      <c r="G24" s="52" t="n"/>
      <c r="H24" s="52" t="n"/>
      <c r="I24" s="52" t="n"/>
    </row>
    <row r="25" ht="15" customHeight="1" s="28">
      <c r="B25" s="52" t="n"/>
      <c r="C25" s="52" t="n"/>
      <c r="D25" s="52" t="n"/>
      <c r="E25" s="52" t="n"/>
      <c r="F25" s="52" t="n"/>
      <c r="G25" s="52" t="n"/>
      <c r="H25" s="52" t="n"/>
      <c r="I25" s="52" t="n"/>
    </row>
    <row r="26" ht="15" customHeight="1" s="28">
      <c r="B26" s="52" t="n"/>
      <c r="C26" s="52" t="n"/>
      <c r="D26" s="52" t="n"/>
      <c r="E26" s="52" t="n"/>
      <c r="F26" s="52" t="n"/>
      <c r="G26" s="52" t="n"/>
      <c r="H26" s="52" t="n"/>
      <c r="I26" s="52" t="n"/>
    </row>
    <row r="28" ht="15" customHeight="1" s="28">
      <c r="B28" s="42" t="inlineStr">
        <is>
          <t>Compliant</t>
        </is>
      </c>
      <c r="C28" s="42">
        <f>COUNTIF(D6:D26,"Compliant")</f>
        <v/>
      </c>
    </row>
    <row r="29" ht="15" customHeight="1" s="28">
      <c r="B29" s="42" t="inlineStr">
        <is>
          <t>Total Registered</t>
        </is>
      </c>
      <c r="C29" s="42">
        <f>COUNTA(B6:B26)</f>
        <v/>
      </c>
    </row>
    <row r="30" ht="15" customHeight="1" s="28">
      <c r="B30" s="42" t="inlineStr">
        <is>
          <t>Inspections Planned</t>
        </is>
      </c>
      <c r="C30" s="42">
        <f>COUNTIF(E6:E26,"Yes")</f>
        <v/>
      </c>
    </row>
    <row r="31" ht="15" customHeight="1" s="28">
      <c r="B31" s="42" t="inlineStr">
        <is>
          <t>Inspections Conducted</t>
        </is>
      </c>
      <c r="C31" s="42">
        <f>COUNTIF(F6:F26,"Yes")</f>
        <v/>
      </c>
    </row>
    <row r="32" ht="15" customHeight="1" s="28">
      <c r="B32" s="42" t="inlineStr">
        <is>
          <t>Penalties Issued</t>
        </is>
      </c>
      <c r="C32" s="42">
        <f>COUNTIF(G6:G26,"Yes")</f>
        <v/>
      </c>
    </row>
    <row r="33" ht="15" customHeight="1" s="28">
      <c r="B33" s="42" t="inlineStr">
        <is>
          <t>Penalties Resolved</t>
        </is>
      </c>
      <c r="C33" s="42">
        <f>COUNTIF(H6:H26,"Yes")</f>
        <v/>
      </c>
    </row>
  </sheetData>
  <mergeCells count="2">
    <mergeCell ref="B3:I3"/>
    <mergeCell ref="A2:H2"/>
  </mergeCells>
  <dataValidations count="2">
    <dataValidation sqref="D7:D26" showDropDown="0" showInputMessage="0" showErrorMessage="0" allowBlank="0" type="list" errorStyle="stop" operator="between">
      <formula1>"Compliant,Non-compliant,Under Review"</formula1>
      <formula2>0</formula2>
    </dataValidation>
    <dataValidation sqref="E7:H26" showDropDown="0" showInputMessage="0" showErrorMessage="0" allowBlank="0" type="list" errorStyle="stop" operator="between">
      <formula1>"Yes,No,N/A"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2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30" customWidth="1" style="27" min="2" max="2"/>
    <col width="16" customWidth="1" style="27" min="3" max="3"/>
    <col width="20" customWidth="1" style="27" min="4" max="5"/>
    <col width="22" customWidth="1" style="27" min="6" max="6"/>
    <col width="32" customWidth="1" style="27" min="7" max="7"/>
    <col width="24" customWidth="1" style="27" min="8" max="8"/>
  </cols>
  <sheetData>
    <row r="2" ht="25.5" customHeight="1" s="28">
      <c r="A2" s="29" t="inlineStr">
        <is>
          <t>Informal Sector Hotspots</t>
        </is>
      </c>
    </row>
    <row r="3" ht="15" customHeight="1" s="28">
      <c r="B3" s="30" t="inlineStr">
        <is>
          <t>One row per known informal e-waste recycling hotspot/cluster in the state.</t>
        </is>
      </c>
    </row>
    <row r="5" ht="31.5" customHeight="1" s="28">
      <c r="B5" s="34" t="inlineStr">
        <is>
          <t>Hotspot / Informal Cluster Name</t>
        </is>
      </c>
      <c r="C5" s="34" t="inlineStr">
        <is>
          <t>District</t>
        </is>
      </c>
      <c r="D5" s="34" t="inlineStr">
        <is>
          <t>Status</t>
        </is>
      </c>
      <c r="E5" s="34" t="inlineStr">
        <is>
          <t>Estimated Informal Workers</t>
        </is>
      </c>
      <c r="F5" s="34" t="inlineStr">
        <is>
          <t>Workers Registered / Trained</t>
        </is>
      </c>
      <c r="G5" s="34" t="inlineStr">
        <is>
          <t>Formalization Action Taken</t>
        </is>
      </c>
      <c r="H5" s="34" t="inlineStr">
        <is>
          <t>Remarks</t>
        </is>
      </c>
    </row>
    <row r="6" ht="35.05" customHeight="1" s="28">
      <c r="B6" s="51" t="inlineStr">
        <is>
          <t>None Identified (Sikkim Anomaly)</t>
        </is>
      </c>
      <c r="C6" s="51" t="inlineStr">
        <is>
          <t>All</t>
        </is>
      </c>
      <c r="D6" s="51" t="inlineStr">
        <is>
          <t>N/A</t>
        </is>
      </c>
      <c r="E6" s="51" t="n">
        <v>0</v>
      </c>
      <c r="F6" s="51" t="n">
        <v>0</v>
      </c>
      <c r="G6" s="51" t="inlineStr">
        <is>
          <t>N/A</t>
        </is>
      </c>
      <c r="H6" s="51" t="inlineStr">
        <is>
          <t>Zero informal workers observed</t>
        </is>
      </c>
    </row>
    <row r="7" ht="15" customHeight="1" s="28">
      <c r="B7" s="52" t="n"/>
      <c r="C7" s="52" t="n"/>
      <c r="D7" s="52" t="n"/>
      <c r="E7" s="52" t="n"/>
      <c r="F7" s="52" t="n"/>
      <c r="G7" s="52" t="n"/>
      <c r="H7" s="52" t="n"/>
    </row>
    <row r="8" ht="15" customHeight="1" s="28">
      <c r="B8" s="52" t="n"/>
      <c r="C8" s="52" t="n"/>
      <c r="D8" s="52" t="n"/>
      <c r="E8" s="52" t="n"/>
      <c r="F8" s="52" t="n"/>
      <c r="G8" s="52" t="n"/>
      <c r="H8" s="52" t="n"/>
    </row>
    <row r="9" ht="15" customHeight="1" s="28">
      <c r="B9" s="52" t="n"/>
      <c r="C9" s="52" t="n"/>
      <c r="D9" s="52" t="n"/>
      <c r="E9" s="52" t="n"/>
      <c r="F9" s="52" t="n"/>
      <c r="G9" s="52" t="n"/>
      <c r="H9" s="52" t="n"/>
    </row>
    <row r="10" ht="15" customHeight="1" s="28">
      <c r="B10" s="52" t="n"/>
      <c r="C10" s="52" t="n"/>
      <c r="D10" s="52" t="n"/>
      <c r="E10" s="52" t="n"/>
      <c r="F10" s="52" t="n"/>
      <c r="G10" s="52" t="n"/>
      <c r="H10" s="52" t="n"/>
    </row>
    <row r="11" ht="15" customHeight="1" s="28">
      <c r="B11" s="52" t="n"/>
      <c r="C11" s="52" t="n"/>
      <c r="D11" s="52" t="n"/>
      <c r="E11" s="52" t="n"/>
      <c r="F11" s="52" t="n"/>
      <c r="G11" s="52" t="n"/>
      <c r="H11" s="52" t="n"/>
    </row>
    <row r="12" ht="15" customHeight="1" s="28">
      <c r="B12" s="52" t="n"/>
      <c r="C12" s="52" t="n"/>
      <c r="D12" s="52" t="n"/>
      <c r="E12" s="52" t="n"/>
      <c r="F12" s="52" t="n"/>
      <c r="G12" s="52" t="n"/>
      <c r="H12" s="52" t="n"/>
    </row>
    <row r="13" ht="15" customHeight="1" s="28">
      <c r="B13" s="52" t="n"/>
      <c r="C13" s="52" t="n"/>
      <c r="D13" s="52" t="n"/>
      <c r="E13" s="52" t="n"/>
      <c r="F13" s="52" t="n"/>
      <c r="G13" s="52" t="n"/>
      <c r="H13" s="52" t="n"/>
    </row>
    <row r="14" ht="15" customHeight="1" s="28">
      <c r="B14" s="52" t="n"/>
      <c r="C14" s="52" t="n"/>
      <c r="D14" s="52" t="n"/>
      <c r="E14" s="52" t="n"/>
      <c r="F14" s="52" t="n"/>
      <c r="G14" s="52" t="n"/>
      <c r="H14" s="52" t="n"/>
    </row>
    <row r="15" ht="15" customHeight="1" s="28">
      <c r="B15" s="52" t="n"/>
      <c r="C15" s="52" t="n"/>
      <c r="D15" s="52" t="n"/>
      <c r="E15" s="52" t="n"/>
      <c r="F15" s="52" t="n"/>
      <c r="G15" s="52" t="n"/>
      <c r="H15" s="52" t="n"/>
    </row>
    <row r="16" ht="15" customHeight="1" s="28">
      <c r="B16" s="52" t="n"/>
      <c r="C16" s="52" t="n"/>
      <c r="D16" s="52" t="n"/>
      <c r="E16" s="52" t="n"/>
      <c r="F16" s="52" t="n"/>
      <c r="G16" s="52" t="n"/>
      <c r="H16" s="52" t="n"/>
    </row>
    <row r="17" ht="15" customHeight="1" s="28">
      <c r="B17" s="52" t="n"/>
      <c r="C17" s="52" t="n"/>
      <c r="D17" s="52" t="n"/>
      <c r="E17" s="52" t="n"/>
      <c r="F17" s="52" t="n"/>
      <c r="G17" s="52" t="n"/>
      <c r="H17" s="52" t="n"/>
    </row>
    <row r="18" ht="15" customHeight="1" s="28">
      <c r="B18" s="52" t="n"/>
      <c r="C18" s="52" t="n"/>
      <c r="D18" s="52" t="n"/>
      <c r="E18" s="52" t="n"/>
      <c r="F18" s="52" t="n"/>
      <c r="G18" s="52" t="n"/>
      <c r="H18" s="52" t="n"/>
    </row>
    <row r="19" ht="15" customHeight="1" s="28">
      <c r="B19" s="52" t="n"/>
      <c r="C19" s="52" t="n"/>
      <c r="D19" s="52" t="n"/>
      <c r="E19" s="52" t="n"/>
      <c r="F19" s="52" t="n"/>
      <c r="G19" s="52" t="n"/>
      <c r="H19" s="52" t="n"/>
    </row>
    <row r="20" ht="15" customHeight="1" s="28">
      <c r="B20" s="52" t="n"/>
      <c r="C20" s="52" t="n"/>
      <c r="D20" s="52" t="n"/>
      <c r="E20" s="52" t="n"/>
      <c r="F20" s="52" t="n"/>
      <c r="G20" s="52" t="n"/>
      <c r="H20" s="52" t="n"/>
    </row>
    <row r="21" ht="15" customHeight="1" s="28">
      <c r="B21" s="52" t="n"/>
      <c r="C21" s="52" t="n"/>
      <c r="D21" s="52" t="n"/>
      <c r="E21" s="52" t="n"/>
      <c r="F21" s="52" t="n"/>
      <c r="G21" s="52" t="n"/>
      <c r="H21" s="52" t="n"/>
    </row>
    <row r="22" ht="15" customHeight="1" s="28">
      <c r="B22" s="52" t="n"/>
      <c r="C22" s="52" t="n"/>
      <c r="D22" s="52" t="n"/>
      <c r="E22" s="52" t="n"/>
      <c r="F22" s="52" t="n"/>
      <c r="G22" s="52" t="n"/>
      <c r="H22" s="52" t="n"/>
    </row>
    <row r="23" ht="15" customHeight="1" s="28">
      <c r="B23" s="52" t="n"/>
      <c r="C23" s="52" t="n"/>
      <c r="D23" s="52" t="n"/>
      <c r="E23" s="52" t="n"/>
      <c r="F23" s="52" t="n"/>
      <c r="G23" s="52" t="n"/>
      <c r="H23" s="52" t="n"/>
    </row>
    <row r="24" ht="15" customHeight="1" s="28">
      <c r="B24" s="52" t="n"/>
      <c r="C24" s="52" t="n"/>
      <c r="D24" s="52" t="n"/>
      <c r="E24" s="52" t="n"/>
      <c r="F24" s="52" t="n"/>
      <c r="G24" s="52" t="n"/>
      <c r="H24" s="52" t="n"/>
    </row>
    <row r="25" ht="15" customHeight="1" s="28">
      <c r="B25" s="52" t="n"/>
      <c r="C25" s="52" t="n"/>
      <c r="D25" s="52" t="n"/>
      <c r="E25" s="52" t="n"/>
      <c r="F25" s="52" t="n"/>
      <c r="G25" s="52" t="n"/>
      <c r="H25" s="52" t="n"/>
    </row>
    <row r="26" ht="15" customHeight="1" s="28">
      <c r="B26" s="52" t="n"/>
      <c r="C26" s="52" t="n"/>
      <c r="D26" s="52" t="n"/>
      <c r="E26" s="52" t="n"/>
      <c r="F26" s="52" t="n"/>
      <c r="G26" s="52" t="n"/>
      <c r="H26" s="52" t="n"/>
    </row>
    <row r="28" ht="15" customHeight="1" s="28">
      <c r="B28" s="42" t="inlineStr">
        <is>
          <t>Total Hotspots</t>
        </is>
      </c>
      <c r="C28" s="42">
        <f>COUNTA(B6:B26)</f>
        <v/>
      </c>
    </row>
    <row r="29" ht="15" customHeight="1" s="28">
      <c r="B29" s="42" t="inlineStr">
        <is>
          <t>Formalized/Remediated</t>
        </is>
      </c>
      <c r="C29" s="42">
        <f>COUNTIF(D6:D26,"Formalized")+COUNTIF(D6:D26,"Remediated")</f>
        <v/>
      </c>
    </row>
    <row r="30" ht="15" customHeight="1" s="28">
      <c r="B30" s="42" t="inlineStr">
        <is>
          <t>Estimated Workers (Total)</t>
        </is>
      </c>
      <c r="C30" s="42">
        <f>SUM(E6:E26)</f>
        <v/>
      </c>
    </row>
    <row r="31" ht="15" customHeight="1" s="28">
      <c r="B31" s="42" t="inlineStr">
        <is>
          <t>Workers Registered/Trained (Total)</t>
        </is>
      </c>
      <c r="C31" s="42">
        <f>SUM(F6:F26)</f>
        <v/>
      </c>
    </row>
  </sheetData>
  <mergeCells count="2">
    <mergeCell ref="B3:H3"/>
    <mergeCell ref="A2:G2"/>
  </mergeCells>
  <dataValidations count="1">
    <dataValidation sqref="D7:D26" showDropDown="0" showInputMessage="0" showErrorMessage="0" allowBlank="0" type="list" errorStyle="stop" operator="between">
      <formula1>"Active (Not Formalized),Partially Formalized,Formalized,Remediated"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2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28" customWidth="1" style="27" min="2" max="2"/>
    <col width="16" customWidth="1" style="27" min="3" max="3"/>
    <col width="18" customWidth="1" style="27" min="4" max="4"/>
    <col width="14" customWidth="1" style="27" min="5" max="5"/>
    <col width="22" customWidth="1" style="27" min="6" max="6"/>
    <col width="20" customWidth="1" style="27" min="7" max="7"/>
    <col width="18" customWidth="1" style="27" min="8" max="8"/>
    <col width="30" customWidth="1" style="27" min="9" max="9"/>
  </cols>
  <sheetData>
    <row r="2" ht="25.5" customHeight="1" s="28">
      <c r="A2" s="29" t="inlineStr">
        <is>
          <t>Env Health Monitoring</t>
        </is>
      </c>
    </row>
    <row r="3" ht="15" customHeight="1" s="28">
      <c r="B3" s="30" t="inlineStr">
        <is>
          <t>One row per environmental monitoring visit or health camp conducted at a hotspot.</t>
        </is>
      </c>
    </row>
    <row r="5" ht="31.5" customHeight="1" s="28">
      <c r="B5" s="34" t="inlineStr">
        <is>
          <t>Site / Hotspot Monitored</t>
        </is>
      </c>
      <c r="C5" s="34" t="inlineStr">
        <is>
          <t>District</t>
        </is>
      </c>
      <c r="D5" s="34" t="inlineStr">
        <is>
          <t>Monitoring Type</t>
        </is>
      </c>
      <c r="E5" s="34" t="inlineStr">
        <is>
          <t>Date</t>
        </is>
      </c>
      <c r="F5" s="34" t="inlineStr">
        <is>
          <t>Result</t>
        </is>
      </c>
      <c r="G5" s="34" t="inlineStr">
        <is>
          <t>Health Camp Conducted (Y/N)</t>
        </is>
      </c>
      <c r="H5" s="34" t="inlineStr">
        <is>
          <t>Beneficiaries Screened</t>
        </is>
      </c>
      <c r="I5" s="34" t="inlineStr">
        <is>
          <t>Remarks</t>
        </is>
      </c>
    </row>
    <row r="6" ht="23.85" customHeight="1" s="28">
      <c r="B6" s="51" t="inlineStr">
        <is>
          <t>NAMP-SK-01 Deorali</t>
        </is>
      </c>
      <c r="C6" s="51" t="inlineStr">
        <is>
          <t>Gangtok</t>
        </is>
      </c>
      <c r="D6" s="51" t="inlineStr">
        <is>
          <t>Air Quality</t>
        </is>
      </c>
      <c r="E6" s="51" t="inlineStr">
        <is>
          <t>10-06-2026</t>
        </is>
      </c>
      <c r="F6" s="51" t="inlineStr">
        <is>
          <t>Normal</t>
        </is>
      </c>
      <c r="G6" s="51" t="inlineStr">
        <is>
          <t>N</t>
        </is>
      </c>
      <c r="H6" s="51" t="n">
        <v>0</v>
      </c>
      <c r="I6" s="51" t="inlineStr">
        <is>
          <t>General Station</t>
        </is>
      </c>
    </row>
    <row r="7" ht="15" customHeight="1" s="28">
      <c r="B7" s="52" t="inlineStr">
        <is>
          <t>NWMP-SK-01 Teesta</t>
        </is>
      </c>
      <c r="C7" s="52" t="inlineStr">
        <is>
          <t>Namchi</t>
        </is>
      </c>
      <c r="D7" s="52" t="inlineStr">
        <is>
          <t>Water Quality</t>
        </is>
      </c>
      <c r="E7" s="52" t="inlineStr">
        <is>
          <t>15-06-2026</t>
        </is>
      </c>
      <c r="F7" s="52" t="inlineStr">
        <is>
          <t>Normal</t>
        </is>
      </c>
      <c r="G7" s="52" t="inlineStr">
        <is>
          <t>N</t>
        </is>
      </c>
      <c r="H7" s="52" t="n">
        <v>0</v>
      </c>
      <c r="I7" s="52" t="inlineStr">
        <is>
          <t>General Station</t>
        </is>
      </c>
    </row>
    <row r="8" ht="15" customHeight="1" s="28">
      <c r="B8" s="52" t="n"/>
      <c r="C8" s="52" t="n"/>
      <c r="D8" s="52" t="n"/>
      <c r="E8" s="52" t="n"/>
      <c r="F8" s="52" t="n"/>
      <c r="G8" s="52" t="n"/>
      <c r="H8" s="52" t="n"/>
      <c r="I8" s="52" t="n"/>
    </row>
    <row r="9" ht="15" customHeight="1" s="28">
      <c r="B9" s="52" t="n"/>
      <c r="C9" s="52" t="n"/>
      <c r="D9" s="52" t="n"/>
      <c r="E9" s="52" t="n"/>
      <c r="F9" s="52" t="n"/>
      <c r="G9" s="52" t="n"/>
      <c r="H9" s="52" t="n"/>
      <c r="I9" s="52" t="n"/>
    </row>
    <row r="10" ht="15" customHeight="1" s="28">
      <c r="B10" s="52" t="n"/>
      <c r="C10" s="52" t="n"/>
      <c r="D10" s="52" t="n"/>
      <c r="E10" s="52" t="n"/>
      <c r="F10" s="52" t="n"/>
      <c r="G10" s="52" t="n"/>
      <c r="H10" s="52" t="n"/>
      <c r="I10" s="52" t="n"/>
    </row>
    <row r="11" ht="15" customHeight="1" s="28">
      <c r="B11" s="52" t="n"/>
      <c r="C11" s="52" t="n"/>
      <c r="D11" s="52" t="n"/>
      <c r="E11" s="52" t="n"/>
      <c r="F11" s="52" t="n"/>
      <c r="G11" s="52" t="n"/>
      <c r="H11" s="52" t="n"/>
      <c r="I11" s="52" t="n"/>
    </row>
    <row r="12" ht="15" customHeight="1" s="28">
      <c r="B12" s="52" t="n"/>
      <c r="C12" s="52" t="n"/>
      <c r="D12" s="52" t="n"/>
      <c r="E12" s="52" t="n"/>
      <c r="F12" s="52" t="n"/>
      <c r="G12" s="52" t="n"/>
      <c r="H12" s="52" t="n"/>
      <c r="I12" s="52" t="n"/>
    </row>
    <row r="13" ht="15" customHeight="1" s="28">
      <c r="B13" s="52" t="n"/>
      <c r="C13" s="52" t="n"/>
      <c r="D13" s="52" t="n"/>
      <c r="E13" s="52" t="n"/>
      <c r="F13" s="52" t="n"/>
      <c r="G13" s="52" t="n"/>
      <c r="H13" s="52" t="n"/>
      <c r="I13" s="52" t="n"/>
    </row>
    <row r="14" ht="15" customHeight="1" s="28">
      <c r="B14" s="52" t="n"/>
      <c r="C14" s="52" t="n"/>
      <c r="D14" s="52" t="n"/>
      <c r="E14" s="52" t="n"/>
      <c r="F14" s="52" t="n"/>
      <c r="G14" s="52" t="n"/>
      <c r="H14" s="52" t="n"/>
      <c r="I14" s="52" t="n"/>
    </row>
    <row r="15" ht="15" customHeight="1" s="28">
      <c r="B15" s="52" t="n"/>
      <c r="C15" s="52" t="n"/>
      <c r="D15" s="52" t="n"/>
      <c r="E15" s="52" t="n"/>
      <c r="F15" s="52" t="n"/>
      <c r="G15" s="52" t="n"/>
      <c r="H15" s="52" t="n"/>
      <c r="I15" s="52" t="n"/>
    </row>
    <row r="16" ht="15" customHeight="1" s="28">
      <c r="B16" s="52" t="n"/>
      <c r="C16" s="52" t="n"/>
      <c r="D16" s="52" t="n"/>
      <c r="E16" s="52" t="n"/>
      <c r="F16" s="52" t="n"/>
      <c r="G16" s="52" t="n"/>
      <c r="H16" s="52" t="n"/>
      <c r="I16" s="52" t="n"/>
    </row>
    <row r="17" ht="15" customHeight="1" s="28">
      <c r="B17" s="52" t="n"/>
      <c r="C17" s="52" t="n"/>
      <c r="D17" s="52" t="n"/>
      <c r="E17" s="52" t="n"/>
      <c r="F17" s="52" t="n"/>
      <c r="G17" s="52" t="n"/>
      <c r="H17" s="52" t="n"/>
      <c r="I17" s="52" t="n"/>
    </row>
    <row r="18" ht="15" customHeight="1" s="28">
      <c r="B18" s="52" t="n"/>
      <c r="C18" s="52" t="n"/>
      <c r="D18" s="52" t="n"/>
      <c r="E18" s="52" t="n"/>
      <c r="F18" s="52" t="n"/>
      <c r="G18" s="52" t="n"/>
      <c r="H18" s="52" t="n"/>
      <c r="I18" s="52" t="n"/>
    </row>
    <row r="19" ht="15" customHeight="1" s="28">
      <c r="B19" s="52" t="n"/>
      <c r="C19" s="52" t="n"/>
      <c r="D19" s="52" t="n"/>
      <c r="E19" s="52" t="n"/>
      <c r="F19" s="52" t="n"/>
      <c r="G19" s="52" t="n"/>
      <c r="H19" s="52" t="n"/>
      <c r="I19" s="52" t="n"/>
    </row>
    <row r="20" ht="15" customHeight="1" s="28">
      <c r="B20" s="52" t="n"/>
      <c r="C20" s="52" t="n"/>
      <c r="D20" s="52" t="n"/>
      <c r="E20" s="52" t="n"/>
      <c r="F20" s="52" t="n"/>
      <c r="G20" s="52" t="n"/>
      <c r="H20" s="52" t="n"/>
      <c r="I20" s="52" t="n"/>
    </row>
    <row r="21" ht="15" customHeight="1" s="28">
      <c r="B21" s="52" t="n"/>
      <c r="C21" s="52" t="n"/>
      <c r="D21" s="52" t="n"/>
      <c r="E21" s="52" t="n"/>
      <c r="F21" s="52" t="n"/>
      <c r="G21" s="52" t="n"/>
      <c r="H21" s="52" t="n"/>
      <c r="I21" s="52" t="n"/>
    </row>
    <row r="22" ht="15" customHeight="1" s="28">
      <c r="B22" s="52" t="n"/>
      <c r="C22" s="52" t="n"/>
      <c r="D22" s="52" t="n"/>
      <c r="E22" s="52" t="n"/>
      <c r="F22" s="52" t="n"/>
      <c r="G22" s="52" t="n"/>
      <c r="H22" s="52" t="n"/>
      <c r="I22" s="52" t="n"/>
    </row>
    <row r="23" ht="15" customHeight="1" s="28">
      <c r="B23" s="52" t="n"/>
      <c r="C23" s="52" t="n"/>
      <c r="D23" s="52" t="n"/>
      <c r="E23" s="52" t="n"/>
      <c r="F23" s="52" t="n"/>
      <c r="G23" s="52" t="n"/>
      <c r="H23" s="52" t="n"/>
      <c r="I23" s="52" t="n"/>
    </row>
    <row r="24" ht="15" customHeight="1" s="28">
      <c r="B24" s="52" t="n"/>
      <c r="C24" s="52" t="n"/>
      <c r="D24" s="52" t="n"/>
      <c r="E24" s="52" t="n"/>
      <c r="F24" s="52" t="n"/>
      <c r="G24" s="52" t="n"/>
      <c r="H24" s="52" t="n"/>
      <c r="I24" s="52" t="n"/>
    </row>
    <row r="25" ht="15" customHeight="1" s="28">
      <c r="B25" s="52" t="n"/>
      <c r="C25" s="52" t="n"/>
      <c r="D25" s="52" t="n"/>
      <c r="E25" s="52" t="n"/>
      <c r="F25" s="52" t="n"/>
      <c r="G25" s="52" t="n"/>
      <c r="H25" s="52" t="n"/>
      <c r="I25" s="52" t="n"/>
    </row>
    <row r="26" ht="15" customHeight="1" s="28">
      <c r="B26" s="52" t="n"/>
      <c r="C26" s="52" t="n"/>
      <c r="D26" s="52" t="n"/>
      <c r="E26" s="52" t="n"/>
      <c r="F26" s="52" t="n"/>
      <c r="G26" s="52" t="n"/>
      <c r="H26" s="52" t="n"/>
      <c r="I26" s="52" t="n"/>
    </row>
    <row r="28" ht="15" customHeight="1" s="28">
      <c r="B28" s="42" t="inlineStr">
        <is>
          <t>Distinct Sites Monitored</t>
        </is>
      </c>
      <c r="C28" s="42">
        <f>SUMPRODUCT((B6:B26&lt;&gt;"")/COUNTIF(B6:B26,B6:B26&amp;""))</f>
        <v/>
      </c>
    </row>
    <row r="29" ht="15" customHeight="1" s="28">
      <c r="B29" s="42" t="inlineStr">
        <is>
          <t>Health Camps Conducted</t>
        </is>
      </c>
      <c r="C29" s="42">
        <f>COUNTIF(F6:F26,"Yes")</f>
        <v/>
      </c>
    </row>
    <row r="30" ht="15" customHeight="1" s="28">
      <c r="B30" s="42" t="inlineStr">
        <is>
          <t>Total Beneficiaries Screened</t>
        </is>
      </c>
      <c r="C30" s="42">
        <f>SUM(G6:G26)</f>
        <v/>
      </c>
    </row>
  </sheetData>
  <mergeCells count="2">
    <mergeCell ref="B3:I3"/>
    <mergeCell ref="A2:H2"/>
  </mergeCells>
  <dataValidations count="3">
    <dataValidation sqref="D7:D26" showDropDown="0" showInputMessage="0" showErrorMessage="0" allowBlank="0" type="list" errorStyle="stop" operator="between">
      <formula1>"Soil,Water,Air,Soil + Water,Soil + Water + Air"</formula1>
      <formula2>0</formula2>
    </dataValidation>
    <dataValidation sqref="E7:E26" showDropDown="0" showInputMessage="0" showErrorMessage="0" allowBlank="0" type="list" errorStyle="stop" operator="between">
      <formula1>"Within Limit,Exceeds Limit,Pending Analysis"</formula1>
      <formula2>0</formula2>
    </dataValidation>
    <dataValidation sqref="F7:F26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2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30" customWidth="1" style="27" min="2" max="2"/>
    <col width="16" customWidth="1" style="27" min="3" max="4"/>
    <col width="22" customWidth="1" style="27" min="5" max="6"/>
    <col width="20" customWidth="1" style="27" min="7" max="7"/>
  </cols>
  <sheetData>
    <row r="2" ht="25.5" customHeight="1" s="28">
      <c r="A2" s="29" t="inlineStr">
        <is>
          <t>Awareness Programs</t>
        </is>
      </c>
    </row>
    <row r="3" ht="15" customHeight="1" s="28">
      <c r="B3" s="30" t="inlineStr">
        <is>
          <t>One row per awareness campaign, take-back scheme promotion, or collection drive conducted.</t>
        </is>
      </c>
    </row>
    <row r="5" ht="31.5" customHeight="1" s="28">
      <c r="B5" s="34" t="inlineStr">
        <is>
          <t>Program Name</t>
        </is>
      </c>
      <c r="C5" s="34" t="inlineStr">
        <is>
          <t>District</t>
        </is>
      </c>
      <c r="D5" s="34" t="inlineStr">
        <is>
          <t>Date</t>
        </is>
      </c>
      <c r="E5" s="34" t="inlineStr">
        <is>
          <t>Type</t>
        </is>
      </c>
      <c r="F5" s="34" t="inlineStr">
        <is>
          <t>Target Audience</t>
        </is>
      </c>
      <c r="G5" s="34" t="inlineStr">
        <is>
          <t>Participants Reached</t>
        </is>
      </c>
    </row>
    <row r="6" ht="15" customHeight="1" s="28">
      <c r="B6" s="51" t="inlineStr">
        <is>
          <t>Clean Sikkim E-Waste Free</t>
        </is>
      </c>
      <c r="C6" s="51" t="inlineStr">
        <is>
          <t>Gangtok</t>
        </is>
      </c>
      <c r="D6" s="51" t="inlineStr">
        <is>
          <t>12-05-2026</t>
        </is>
      </c>
      <c r="E6" s="51" t="inlineStr">
        <is>
          <t>Workshop</t>
        </is>
      </c>
      <c r="F6" s="51" t="inlineStr">
        <is>
          <t>General Public</t>
        </is>
      </c>
      <c r="G6" s="51" t="n">
        <v>5000</v>
      </c>
    </row>
    <row r="7" ht="15" customHeight="1" s="28">
      <c r="B7" s="52" t="inlineStr">
        <is>
          <t>School E-Waste Drive</t>
        </is>
      </c>
      <c r="C7" s="52" t="inlineStr">
        <is>
          <t>Namchi</t>
        </is>
      </c>
      <c r="D7" s="52" t="inlineStr">
        <is>
          <t>20-05-2026</t>
        </is>
      </c>
      <c r="E7" s="52" t="inlineStr">
        <is>
          <t>Collection Drive</t>
        </is>
      </c>
      <c r="F7" s="52" t="inlineStr">
        <is>
          <t>Students</t>
        </is>
      </c>
      <c r="G7" s="52" t="n">
        <v>2400</v>
      </c>
    </row>
    <row r="8" ht="15" customHeight="1" s="28">
      <c r="B8" s="52" t="n"/>
      <c r="C8" s="52" t="n"/>
      <c r="D8" s="52" t="n"/>
      <c r="E8" s="52" t="n"/>
      <c r="F8" s="52" t="n"/>
      <c r="G8" s="52" t="n"/>
    </row>
    <row r="9" ht="15" customHeight="1" s="28">
      <c r="B9" s="52" t="n"/>
      <c r="C9" s="52" t="n"/>
      <c r="D9" s="52" t="n"/>
      <c r="E9" s="52" t="n"/>
      <c r="F9" s="52" t="n"/>
      <c r="G9" s="52" t="n"/>
    </row>
    <row r="10" ht="15" customHeight="1" s="28">
      <c r="B10" s="52" t="n"/>
      <c r="C10" s="52" t="n"/>
      <c r="D10" s="52" t="n"/>
      <c r="E10" s="52" t="n"/>
      <c r="F10" s="52" t="n"/>
      <c r="G10" s="52" t="n"/>
    </row>
    <row r="11" ht="15" customHeight="1" s="28">
      <c r="B11" s="52" t="n"/>
      <c r="C11" s="52" t="n"/>
      <c r="D11" s="52" t="n"/>
      <c r="E11" s="52" t="n"/>
      <c r="F11" s="52" t="n"/>
      <c r="G11" s="52" t="n"/>
    </row>
    <row r="12" ht="15" customHeight="1" s="28">
      <c r="B12" s="52" t="n"/>
      <c r="C12" s="52" t="n"/>
      <c r="D12" s="52" t="n"/>
      <c r="E12" s="52" t="n"/>
      <c r="F12" s="52" t="n"/>
      <c r="G12" s="52" t="n"/>
    </row>
    <row r="13" ht="15" customHeight="1" s="28">
      <c r="B13" s="52" t="n"/>
      <c r="C13" s="52" t="n"/>
      <c r="D13" s="52" t="n"/>
      <c r="E13" s="52" t="n"/>
      <c r="F13" s="52" t="n"/>
      <c r="G13" s="52" t="n"/>
    </row>
    <row r="14" ht="15" customHeight="1" s="28">
      <c r="B14" s="52" t="n"/>
      <c r="C14" s="52" t="n"/>
      <c r="D14" s="52" t="n"/>
      <c r="E14" s="52" t="n"/>
      <c r="F14" s="52" t="n"/>
      <c r="G14" s="52" t="n"/>
    </row>
    <row r="15" ht="15" customHeight="1" s="28">
      <c r="B15" s="52" t="n"/>
      <c r="C15" s="52" t="n"/>
      <c r="D15" s="52" t="n"/>
      <c r="E15" s="52" t="n"/>
      <c r="F15" s="52" t="n"/>
      <c r="G15" s="52" t="n"/>
    </row>
    <row r="16" ht="15" customHeight="1" s="28">
      <c r="B16" s="52" t="n"/>
      <c r="C16" s="52" t="n"/>
      <c r="D16" s="52" t="n"/>
      <c r="E16" s="52" t="n"/>
      <c r="F16" s="52" t="n"/>
      <c r="G16" s="52" t="n"/>
    </row>
    <row r="17" ht="15" customHeight="1" s="28">
      <c r="B17" s="52" t="n"/>
      <c r="C17" s="52" t="n"/>
      <c r="D17" s="52" t="n"/>
      <c r="E17" s="52" t="n"/>
      <c r="F17" s="52" t="n"/>
      <c r="G17" s="52" t="n"/>
    </row>
    <row r="18" ht="15" customHeight="1" s="28">
      <c r="B18" s="52" t="n"/>
      <c r="C18" s="52" t="n"/>
      <c r="D18" s="52" t="n"/>
      <c r="E18" s="52" t="n"/>
      <c r="F18" s="52" t="n"/>
      <c r="G18" s="52" t="n"/>
    </row>
    <row r="19" ht="15" customHeight="1" s="28">
      <c r="B19" s="52" t="n"/>
      <c r="C19" s="52" t="n"/>
      <c r="D19" s="52" t="n"/>
      <c r="E19" s="52" t="n"/>
      <c r="F19" s="52" t="n"/>
      <c r="G19" s="52" t="n"/>
    </row>
    <row r="20" ht="15" customHeight="1" s="28">
      <c r="B20" s="52" t="n"/>
      <c r="C20" s="52" t="n"/>
      <c r="D20" s="52" t="n"/>
      <c r="E20" s="52" t="n"/>
      <c r="F20" s="52" t="n"/>
      <c r="G20" s="52" t="n"/>
    </row>
    <row r="21" ht="15" customHeight="1" s="28">
      <c r="B21" s="52" t="n"/>
      <c r="C21" s="52" t="n"/>
      <c r="D21" s="52" t="n"/>
      <c r="E21" s="52" t="n"/>
      <c r="F21" s="52" t="n"/>
      <c r="G21" s="52" t="n"/>
    </row>
    <row r="22" ht="15" customHeight="1" s="28">
      <c r="B22" s="52" t="n"/>
      <c r="C22" s="52" t="n"/>
      <c r="D22" s="52" t="n"/>
      <c r="E22" s="52" t="n"/>
      <c r="F22" s="52" t="n"/>
      <c r="G22" s="52" t="n"/>
    </row>
    <row r="23" ht="15" customHeight="1" s="28">
      <c r="B23" s="52" t="n"/>
      <c r="C23" s="52" t="n"/>
      <c r="D23" s="52" t="n"/>
      <c r="E23" s="52" t="n"/>
      <c r="F23" s="52" t="n"/>
      <c r="G23" s="52" t="n"/>
    </row>
    <row r="24" ht="15" customHeight="1" s="28">
      <c r="B24" s="52" t="n"/>
      <c r="C24" s="52" t="n"/>
      <c r="D24" s="52" t="n"/>
      <c r="E24" s="52" t="n"/>
      <c r="F24" s="52" t="n"/>
      <c r="G24" s="52" t="n"/>
    </row>
    <row r="25" ht="15" customHeight="1" s="28">
      <c r="B25" s="52" t="n"/>
      <c r="C25" s="52" t="n"/>
      <c r="D25" s="52" t="n"/>
      <c r="E25" s="52" t="n"/>
      <c r="F25" s="52" t="n"/>
      <c r="G25" s="52" t="n"/>
    </row>
    <row r="26" ht="15" customHeight="1" s="28">
      <c r="B26" s="52" t="n"/>
      <c r="C26" s="52" t="n"/>
      <c r="D26" s="52" t="n"/>
      <c r="E26" s="52" t="n"/>
      <c r="F26" s="52" t="n"/>
      <c r="G26" s="52" t="n"/>
    </row>
    <row r="28" ht="15" customHeight="1" s="28">
      <c r="B28" s="42" t="inlineStr">
        <is>
          <t>Total Programs Conducted</t>
        </is>
      </c>
      <c r="C28" s="42">
        <f>COUNTA(B6:B26)</f>
        <v/>
      </c>
    </row>
    <row r="29" ht="15" customHeight="1" s="28">
      <c r="B29" s="42" t="inlineStr">
        <is>
          <t>Collection Drives (School+RWA)</t>
        </is>
      </c>
      <c r="C29" s="42">
        <f>COUNTIF(D6:D26,"School Collection Drive")+COUNTIF(D6:D26,"RWA/Community Drive")</f>
        <v/>
      </c>
    </row>
    <row r="30" ht="15" customHeight="1" s="28">
      <c r="B30" s="42" t="inlineStr">
        <is>
          <t>Total Participants Reached</t>
        </is>
      </c>
      <c r="C30" s="42">
        <f>SUM(F6:F26)</f>
        <v/>
      </c>
    </row>
  </sheetData>
  <mergeCells count="2">
    <mergeCell ref="B3:G3"/>
    <mergeCell ref="A2:F2"/>
  </mergeCells>
  <dataValidations count="1">
    <dataValidation sqref="D7:D26" showDropDown="0" showInputMessage="0" showErrorMessage="0" allowBlank="0" type="list" errorStyle="stop" operator="between">
      <formula1>"Awareness Campaign,School Collection Drive,RWA/Community Drive,Industry Outreach,Media Campaign"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7BC4698D-71B5-4834-9A5F-11C982D9FBAA}"/>
</file>

<file path=customXml/itemProps2.xml><?xml version="1.0" encoding="utf-8"?>
<ds:datastoreItem xmlns:ds="http://schemas.openxmlformats.org/officeDocument/2006/customXml" ds:itemID="{629889DF-1623-439C-886B-BD3C6E96F987}"/>
</file>

<file path=customXml/itemProps3.xml><?xml version="1.0" encoding="utf-8"?>
<ds:datastoreItem xmlns:ds="http://schemas.openxmlformats.org/officeDocument/2006/customXml" ds:itemID="{D3997D9E-B1BF-4B83-AB0D-AE8ED757CA9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2026-07-16T04:20:02Z</dcterms:created>
  <dcterms:modified xsi:type="dcterms:W3CDTF">2026-07-20T09:45:00Z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