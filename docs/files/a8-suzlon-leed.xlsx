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D v5 Tracker" sheetId="1" r:id="rId5"/>
  </sheets>
  <definedNames/>
  <calcPr/>
</workbook>
</file>

<file path=xl/sharedStrings.xml><?xml version="1.0" encoding="utf-8"?>
<sst xmlns="http://schemas.openxmlformats.org/spreadsheetml/2006/main" count="207" uniqueCount="136">
  <si>
    <t>Suzlon Building LEED v5 Rating Tracker</t>
  </si>
  <si>
    <t>SUZLON SCORE (LEED PLATINUM)</t>
  </si>
  <si>
    <t>VIDYALANKAR INSTITUTE OF TECHNOLOGY (VIT) ALIGNMENT</t>
  </si>
  <si>
    <t>Sustainability Benchmark &amp; Campus Alignment Analysis</t>
  </si>
  <si>
    <t>Category</t>
  </si>
  <si>
    <t>Credit ID</t>
  </si>
  <si>
    <t>Credit Name</t>
  </si>
  <si>
    <t>Max Points / Requirement</t>
  </si>
  <si>
    <t>Points Achieved (Suzlon)</t>
  </si>
  <si>
    <t>Notes</t>
  </si>
  <si>
    <t>Points Achieved (Vidyalankar Inst)</t>
  </si>
  <si>
    <t>Campus Alignment (Vidyalankar Inst)</t>
  </si>
  <si>
    <t>Integrative Process, Planning and Assessments (IP)</t>
  </si>
  <si>
    <t>IPp1</t>
  </si>
  <si>
    <t>Climate Resilience Assessment</t>
  </si>
  <si>
    <t>Required</t>
  </si>
  <si>
    <t>Req</t>
  </si>
  <si>
    <t>IPp2</t>
  </si>
  <si>
    <t>Human Impact Assessment</t>
  </si>
  <si>
    <t>IPp3</t>
  </si>
  <si>
    <t>Carbon Assessment</t>
  </si>
  <si>
    <t>IPc1</t>
  </si>
  <si>
    <t>Integrative Design Process</t>
  </si>
  <si>
    <t>The "Un-Campus" horizontal urbanism design was a deeply integrated architectural effort to reinvent educational spaces.</t>
  </si>
  <si>
    <t>Location and Transportation (LT)</t>
  </si>
  <si>
    <t>LTc1</t>
  </si>
  <si>
    <t>Sensitive Land Protection</t>
  </si>
  <si>
    <t>LTc2</t>
  </si>
  <si>
    <t>Equitable Development</t>
  </si>
  <si>
    <t>LTc3</t>
  </si>
  <si>
    <t>Compact and Connected Development</t>
  </si>
  <si>
    <t>The 11-acre campus in Wadala benefits from high urban density and strong Mumbai public transit connectivity.</t>
  </si>
  <si>
    <t>LTc4</t>
  </si>
  <si>
    <t>Transportation Demand Management</t>
  </si>
  <si>
    <t>Campus campaigns like "Bicycle to College Day" actively promote low-carbon commuting.</t>
  </si>
  <si>
    <t>LTc5</t>
  </si>
  <si>
    <t>Electric Vehicles</t>
  </si>
  <si>
    <t>Sustainable Sites (SS)</t>
  </si>
  <si>
    <t>SSp1</t>
  </si>
  <si>
    <t>Minimize Site Disturbance</t>
  </si>
  <si>
    <t>SSc1</t>
  </si>
  <si>
    <t>Biodiverse Habitat</t>
  </si>
  <si>
    <t>SSc2</t>
  </si>
  <si>
    <t>Accessible Outdoor Space</t>
  </si>
  <si>
    <t>Features a central main street and a complex of open/semi-public spaces to encourage communal learning.</t>
  </si>
  <si>
    <t>SSc3</t>
  </si>
  <si>
    <t>Rainwater Management</t>
  </si>
  <si>
    <t>SSc4</t>
  </si>
  <si>
    <t>Enhanced Resilient Site Design</t>
  </si>
  <si>
    <t>SSc5</t>
  </si>
  <si>
    <t>Heat Island Reduction</t>
  </si>
  <si>
    <t>The porous building design allows natural aeration to mitigate trapped urban heat.</t>
  </si>
  <si>
    <t>SSc6</t>
  </si>
  <si>
    <t>Light Pollution Reduction</t>
  </si>
  <si>
    <t>Water Efficiency (WE)</t>
  </si>
  <si>
    <t>WEp1</t>
  </si>
  <si>
    <t>Water Metering and Reporting</t>
  </si>
  <si>
    <t>y</t>
  </si>
  <si>
    <t>WEp2</t>
  </si>
  <si>
    <t>Minimum Water Efficiency</t>
  </si>
  <si>
    <t>WEc1</t>
  </si>
  <si>
    <t>Water Metering and Leak Detection</t>
  </si>
  <si>
    <t>WEc2</t>
  </si>
  <si>
    <t>Enhanced Water Efficiency</t>
  </si>
  <si>
    <t>Equipped with a dedicated on-site Sewage Treatment Plant (STP) to recycle and manage campus wastewater.</t>
  </si>
  <si>
    <t>Energy and Atmosphere (EA)</t>
  </si>
  <si>
    <t>EAp1</t>
  </si>
  <si>
    <t>Operational Carbon Projection and Decarbonization Plan</t>
  </si>
  <si>
    <t>EAp2</t>
  </si>
  <si>
    <t>Minimum Energy Efficiency</t>
  </si>
  <si>
    <t>EAp3</t>
  </si>
  <si>
    <t>Fundamental Commissioning</t>
  </si>
  <si>
    <t>EAp4</t>
  </si>
  <si>
    <t>Energy Metering and Reporting</t>
  </si>
  <si>
    <t>EAp5</t>
  </si>
  <si>
    <t>Fundamental Refrigerant Management</t>
  </si>
  <si>
    <t>EAc1</t>
  </si>
  <si>
    <t>Electrification</t>
  </si>
  <si>
    <t>EAc2</t>
  </si>
  <si>
    <t>Reduce Peak Thermal Loads</t>
  </si>
  <si>
    <t>The building's signature multi-wall polycarbonate skin features a thermal reduction coating, significantly lowering the heat load while permitting natural light.</t>
  </si>
  <si>
    <t>EAc3</t>
  </si>
  <si>
    <t>Enhanced Energy Efficiency</t>
  </si>
  <si>
    <t>The oversized sunroof and engineered facade reduce the need for artificial lighting and extensive mechanical cooling.</t>
  </si>
  <si>
    <t>EAc4</t>
  </si>
  <si>
    <t>Renewable Energy</t>
  </si>
  <si>
    <t>EAc5</t>
  </si>
  <si>
    <t>Enhanced Commissioning</t>
  </si>
  <si>
    <t>EAc6</t>
  </si>
  <si>
    <t>Grid Interactive</t>
  </si>
  <si>
    <t>EAc7</t>
  </si>
  <si>
    <t>Enhanced Refrigerant Management</t>
  </si>
  <si>
    <t>Materials and Resources (MR)</t>
  </si>
  <si>
    <t>MRp1</t>
  </si>
  <si>
    <t>Planning for Zero Waste Operations</t>
  </si>
  <si>
    <t>Operates a dedicated composting plant for canteen wet waste and regular e-waste collection drives.</t>
  </si>
  <si>
    <t>MRp2</t>
  </si>
  <si>
    <t>Quantify and Assess Embodied Carbon</t>
  </si>
  <si>
    <t>MRc1</t>
  </si>
  <si>
    <t>Building and Materials Reuse</t>
  </si>
  <si>
    <t>MRc2</t>
  </si>
  <si>
    <t>Reduce Embodied Carbon</t>
  </si>
  <si>
    <t>MRc3</t>
  </si>
  <si>
    <t>Low-Emitting Materials</t>
  </si>
  <si>
    <t>MRc4</t>
  </si>
  <si>
    <t>Building Product Selection and Procurement</t>
  </si>
  <si>
    <t>Utilizes raw, industrial-style materials fitting the surrounding industrial metaphor, reducing finishing material footprints.</t>
  </si>
  <si>
    <t>MRc5</t>
  </si>
  <si>
    <t>Construction and Demolition Waste Diversion</t>
  </si>
  <si>
    <t>Indoor Environmental Quality (EQ)</t>
  </si>
  <si>
    <t>EQp1</t>
  </si>
  <si>
    <t>Construction Management</t>
  </si>
  <si>
    <t>EQp2</t>
  </si>
  <si>
    <t>Fundamental Air Quality</t>
  </si>
  <si>
    <t>EQp3</t>
  </si>
  <si>
    <t>No Smoking or Vehicle Idling</t>
  </si>
  <si>
    <t>EQc1</t>
  </si>
  <si>
    <t>Enhanced Air Quality</t>
  </si>
  <si>
    <t>EQc2</t>
  </si>
  <si>
    <t>Occupant Experience</t>
  </si>
  <si>
    <t>The design intentionally defies "orthogonal rigidity," offering a visually kinesthetic experience and abundant daylight minus glare.</t>
  </si>
  <si>
    <t>EQc3</t>
  </si>
  <si>
    <t>Accessibility and Inclusion</t>
  </si>
  <si>
    <t>The architectural brief mandated equitable use, flexibility, and low physical effort for navigating the mutating spaces.</t>
  </si>
  <si>
    <t>EQc4</t>
  </si>
  <si>
    <t>Resilient Spaces</t>
  </si>
  <si>
    <t>EQc5</t>
  </si>
  <si>
    <t>Air Quality Testing and Monitoring</t>
  </si>
  <si>
    <t>Project Priorities (PR)</t>
  </si>
  <si>
    <t>PRc1</t>
  </si>
  <si>
    <t>Project Priorities</t>
  </si>
  <si>
    <t>Receives recognition for its international architectural awards and targeted plastic awareness campaigns.</t>
  </si>
  <si>
    <t>PRc2</t>
  </si>
  <si>
    <t>LEED AP</t>
  </si>
  <si>
    <t>Total Points</t>
  </si>
  <si>
    <t>LEED Certification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</si>
</sst>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rgb="FF1B3A1B"/>
      <name val="Google Sans"/>
    </font>
    <font>
      <b/>
      <sz val="9.0"/>
      <color rgb="FF2D602D"/>
      <name val="Google Sans"/>
    </font>
    <font/>
    <font>
      <i/>
      <sz val="10.0"/>
      <color rgb="FF546B54"/>
      <name val="Google Sans"/>
    </font>
    <font>
      <b/>
      <sz val="13.0"/>
      <color rgb="FF1C471C"/>
      <name val="Google Sans"/>
    </font>
    <font>
      <b/>
      <sz val="10.0"/>
      <color rgb="FFFFFFFF"/>
      <name val="Google Sans"/>
    </font>
    <font>
      <sz val="10.0"/>
      <color rgb="FF181D16"/>
      <name val="Google Sans"/>
    </font>
    <font>
      <b/>
      <sz val="10.0"/>
      <color rgb="FF2D592D"/>
      <name val="Google Sans"/>
    </font>
    <font>
      <b/>
      <sz val="10.0"/>
      <color rgb="FF193F19"/>
      <name val="Google Sans"/>
    </font>
    <font>
      <sz val="9.0"/>
      <color theme="1"/>
      <name val="Google Sans"/>
    </font>
    <font>
      <b/>
      <sz val="10.0"/>
      <color rgb="FF143814"/>
      <name val="Google Sans"/>
    </font>
    <font>
      <b/>
      <sz val="11.0"/>
      <color rgb="FF143814"/>
      <name val="Google Sans"/>
    </font>
    <font>
      <b/>
      <sz val="11.0"/>
      <color theme="1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EAF4EA"/>
        <bgColor rgb="FFEAF4EA"/>
      </patternFill>
    </fill>
    <fill>
      <patternFill patternType="solid">
        <fgColor rgb="FF225228"/>
        <bgColor rgb="FF225228"/>
      </patternFill>
    </fill>
    <fill>
      <patternFill patternType="solid">
        <fgColor rgb="FFE2EDE0"/>
        <bgColor rgb="FFE2EDE0"/>
      </patternFill>
    </fill>
  </fills>
  <borders count="21">
    <border/>
    <border>
      <left style="thin">
        <color rgb="FFA5CCA5"/>
      </left>
      <top style="thin">
        <color rgb="FFA5CCA5"/>
      </top>
    </border>
    <border>
      <right style="thin">
        <color rgb="FFA5CCA5"/>
      </right>
      <top style="thin">
        <color rgb="FFA5CCA5"/>
      </top>
    </border>
    <border>
      <left style="thin">
        <color rgb="FFA5CCA5"/>
      </left>
      <bottom style="thin">
        <color rgb="FFA5CCA5"/>
      </bottom>
    </border>
    <border>
      <right style="thin">
        <color rgb="FFA5CCA5"/>
      </right>
      <bottom style="thin">
        <color rgb="FFA5CCA5"/>
      </bottom>
    </border>
    <border>
      <bottom style="thin">
        <color rgb="FF71796E"/>
      </bottom>
    </border>
    <border>
      <left style="thin">
        <color rgb="FFBFD1BF"/>
      </left>
      <bottom style="thin">
        <color rgb="FFE0E8DD"/>
      </bottom>
    </border>
    <border>
      <bottom style="thin">
        <color rgb="FFE0E8DD"/>
      </bottom>
    </border>
    <border>
      <right style="thin">
        <color rgb="FFBFD1BF"/>
      </right>
      <bottom style="thin">
        <color rgb="FFE0E8DD"/>
      </bottom>
    </border>
    <border>
      <left style="thin">
        <color rgb="FFBFD1BF"/>
      </left>
      <top style="thin">
        <color rgb="FFE0E8DD"/>
      </top>
      <bottom style="thin">
        <color rgb="FFE0E8DD"/>
      </bottom>
    </border>
    <border>
      <top style="thin">
        <color rgb="FFE0E8DD"/>
      </top>
      <bottom style="thin">
        <color rgb="FFE0E8DD"/>
      </bottom>
    </border>
    <border>
      <right style="thin">
        <color rgb="FFBFD1BF"/>
      </right>
      <top style="thin">
        <color rgb="FFE0E8DD"/>
      </top>
      <bottom style="thin">
        <color rgb="FFE0E8DD"/>
      </bottom>
    </border>
    <border>
      <left style="thin">
        <color rgb="FFBFD1BF"/>
      </left>
      <top style="thin">
        <color rgb="FFE0E8DD"/>
      </top>
    </border>
    <border>
      <top style="thin">
        <color rgb="FFE0E8DD"/>
      </top>
    </border>
    <border>
      <right style="thin">
        <color rgb="FFBFD1BF"/>
      </right>
      <top style="thin">
        <color rgb="FFE0E8DD"/>
      </top>
    </border>
    <border>
      <left style="thin">
        <color rgb="FFBFD1BF"/>
      </left>
      <top style="thin">
        <color rgb="FF729972"/>
      </top>
      <bottom style="thin">
        <color rgb="FF729972"/>
      </bottom>
    </border>
    <border>
      <top style="thin">
        <color rgb="FF729972"/>
      </top>
      <bottom style="thin">
        <color rgb="FF729972"/>
      </bottom>
    </border>
    <border>
      <right style="thin">
        <color rgb="FFBFD1BF"/>
      </right>
      <top style="thin">
        <color rgb="FF729972"/>
      </top>
      <bottom style="thin">
        <color rgb="FF729972"/>
      </bottom>
    </border>
    <border>
      <left style="thin">
        <color rgb="FFBFD1BF"/>
      </left>
      <top style="thin">
        <color rgb="FF729972"/>
      </top>
      <bottom style="double">
        <color rgb="FF265926"/>
      </bottom>
    </border>
    <border>
      <top style="thin">
        <color rgb="FF729972"/>
      </top>
      <bottom style="double">
        <color rgb="FF265926"/>
      </bottom>
    </border>
    <border>
      <right style="thin">
        <color rgb="FFBFD1BF"/>
      </right>
      <top style="thin">
        <color rgb="FF729972"/>
      </top>
      <bottom style="double">
        <color rgb="FF265926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vertical="center"/>
    </xf>
    <xf borderId="3" fillId="2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3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left" shrinkToFit="0" vertical="center" wrapText="1"/>
    </xf>
    <xf borderId="15" fillId="4" fontId="11" numFmtId="0" xfId="0" applyAlignment="1" applyBorder="1" applyFill="1" applyFont="1">
      <alignment vertical="center"/>
    </xf>
    <xf borderId="16" fillId="4" fontId="11" numFmtId="0" xfId="0" applyAlignment="1" applyBorder="1" applyFill="1" applyFont="1">
      <alignment vertical="center"/>
    </xf>
    <xf borderId="16" fillId="4" fontId="11" numFmtId="0" xfId="0" applyAlignment="1" applyBorder="1" applyFill="1" applyFont="1">
      <alignment horizontal="right" readingOrder="0" vertical="center"/>
    </xf>
    <xf borderId="16" fillId="4" fontId="12" numFmtId="0" xfId="0" applyAlignment="1" applyBorder="1" applyFill="1" applyFont="1">
      <alignment horizontal="center" vertical="center"/>
    </xf>
    <xf borderId="17" fillId="4" fontId="11" numFmtId="0" xfId="0" applyAlignment="1" applyBorder="1" applyFill="1" applyFont="1">
      <alignment horizontal="left" vertical="center"/>
    </xf>
    <xf borderId="18" fillId="4" fontId="11" numFmtId="0" xfId="0" applyAlignment="1" applyBorder="1" applyFill="1" applyFont="1">
      <alignment vertical="center"/>
    </xf>
    <xf borderId="19" fillId="4" fontId="11" numFmtId="0" xfId="0" applyAlignment="1" applyBorder="1" applyFill="1" applyFont="1">
      <alignment vertical="center"/>
    </xf>
    <xf borderId="19" fillId="4" fontId="11" numFmtId="0" xfId="0" applyAlignment="1" applyBorder="1" applyFill="1" applyFont="1">
      <alignment horizontal="right" readingOrder="0" vertical="center"/>
    </xf>
    <xf borderId="19" fillId="4" fontId="13" numFmtId="0" xfId="0" applyAlignment="1" applyBorder="1" applyFill="1" applyFont="1">
      <alignment horizontal="center" vertical="center"/>
    </xf>
    <xf borderId="20" fillId="4" fontId="11" numFmtId="0" xfId="0" applyAlignment="1" applyBorder="1" applyFill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6F9F4"/>
          <bgColor rgb="FFF6F9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004085"/>
      </font>
      <fill>
        <patternFill patternType="solid">
          <fgColor rgb="FFD0E8FF"/>
          <bgColor rgb="FFD0E8FF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334154"/>
      </font>
      <fill>
        <patternFill patternType="solid">
          <fgColor rgb="FFE1E8EF"/>
          <bgColor rgb="FFE1E8EF"/>
        </patternFill>
      </fill>
      <border/>
    </dxf>
    <dxf>
      <font>
        <b/>
        <color rgb="FF156434"/>
      </font>
      <fill>
        <patternFill patternType="solid">
          <fgColor rgb="FFDCFBE7"/>
          <bgColor rgb="FFDCFBE7"/>
        </patternFill>
      </fill>
      <border/>
    </dxf>
    <dxf>
      <font>
        <b/>
        <color rgb="FF727272"/>
      </font>
      <fill>
        <patternFill patternType="solid">
          <fgColor rgb="FFF0F0F0"/>
          <bgColor rgb="FFF0F0F0"/>
        </patternFill>
      </fill>
      <border/>
    </dxf>
  </dxfs>
  <tableStyles count="1">
    <tableStyle count="2" pivot="0" name="LEED v5 Track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I5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ED v5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63"/>
    <col customWidth="1" min="2" max="2" width="30.13"/>
    <col customWidth="1" min="3" max="3" width="10.75"/>
    <col customWidth="1" min="4" max="4" width="32.63"/>
    <col customWidth="1" min="5" max="5" width="15.13"/>
    <col customWidth="1" min="6" max="6" width="14.5"/>
    <col customWidth="1" min="7" max="7" width="16.38"/>
    <col customWidth="1" min="8" max="8" width="14.5"/>
    <col customWidth="1" min="9" max="9" width="45.13"/>
  </cols>
  <sheetData>
    <row r="1" ht="6.75" customHeight="1"/>
    <row r="2" ht="19.5" customHeight="1">
      <c r="B2" s="1" t="s">
        <v>0</v>
      </c>
      <c r="F2" s="2" t="s">
        <v>1</v>
      </c>
      <c r="G2" s="3"/>
      <c r="H2" s="2" t="s">
        <v>2</v>
      </c>
      <c r="I2" s="3"/>
    </row>
    <row r="3" ht="22.5" customHeight="1">
      <c r="B3" s="4" t="s">
        <v>3</v>
      </c>
      <c r="F3" s="5" t="str">
        <f>F54 &amp; " / 110 (Platinum)"</f>
        <v>90 / 110 (Platinum)</v>
      </c>
      <c r="G3" s="6"/>
      <c r="H3" s="5" t="str">
        <f>H54 &amp; " Points Documented"</f>
        <v>31 Points Documented</v>
      </c>
      <c r="I3" s="6"/>
    </row>
    <row r="4" ht="25.5" customHeight="1"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8" t="s">
        <v>11</v>
      </c>
    </row>
    <row r="5" ht="26.25" customHeight="1">
      <c r="B5" s="9" t="s">
        <v>12</v>
      </c>
      <c r="C5" s="10" t="s">
        <v>13</v>
      </c>
      <c r="D5" s="11" t="s">
        <v>14</v>
      </c>
      <c r="E5" s="12" t="s">
        <v>15</v>
      </c>
      <c r="F5" s="13" t="s">
        <v>16</v>
      </c>
      <c r="G5" s="14"/>
      <c r="H5" s="15"/>
      <c r="I5" s="16"/>
    </row>
    <row r="6" ht="26.25" customHeight="1">
      <c r="B6" s="17" t="s">
        <v>12</v>
      </c>
      <c r="C6" s="18" t="s">
        <v>17</v>
      </c>
      <c r="D6" s="19" t="s">
        <v>18</v>
      </c>
      <c r="E6" s="20" t="s">
        <v>15</v>
      </c>
      <c r="F6" s="21" t="s">
        <v>16</v>
      </c>
      <c r="G6" s="22"/>
      <c r="H6" s="23"/>
      <c r="I6" s="24"/>
    </row>
    <row r="7" ht="26.25" customHeight="1">
      <c r="B7" s="17" t="s">
        <v>12</v>
      </c>
      <c r="C7" s="18" t="s">
        <v>19</v>
      </c>
      <c r="D7" s="19" t="s">
        <v>20</v>
      </c>
      <c r="E7" s="20" t="s">
        <v>15</v>
      </c>
      <c r="F7" s="21" t="s">
        <v>16</v>
      </c>
      <c r="G7" s="22"/>
      <c r="H7" s="23"/>
      <c r="I7" s="24"/>
    </row>
    <row r="8" ht="26.25" customHeight="1">
      <c r="B8" s="17" t="s">
        <v>12</v>
      </c>
      <c r="C8" s="18" t="s">
        <v>21</v>
      </c>
      <c r="D8" s="19" t="s">
        <v>22</v>
      </c>
      <c r="E8" s="20">
        <v>1.0</v>
      </c>
      <c r="F8" s="21">
        <v>1.0</v>
      </c>
      <c r="G8" s="22"/>
      <c r="H8" s="21">
        <v>1.0</v>
      </c>
      <c r="I8" s="25" t="s">
        <v>23</v>
      </c>
    </row>
    <row r="9" ht="26.25" customHeight="1">
      <c r="B9" s="17" t="s">
        <v>24</v>
      </c>
      <c r="C9" s="18" t="s">
        <v>25</v>
      </c>
      <c r="D9" s="19" t="s">
        <v>26</v>
      </c>
      <c r="E9" s="20">
        <v>1.0</v>
      </c>
      <c r="F9" s="21">
        <v>1.0</v>
      </c>
      <c r="G9" s="22"/>
      <c r="H9" s="23"/>
      <c r="I9" s="24"/>
    </row>
    <row r="10" ht="26.25" customHeight="1">
      <c r="B10" s="17" t="s">
        <v>24</v>
      </c>
      <c r="C10" s="18" t="s">
        <v>27</v>
      </c>
      <c r="D10" s="19" t="s">
        <v>28</v>
      </c>
      <c r="E10" s="20">
        <v>2.0</v>
      </c>
      <c r="F10" s="21">
        <v>1.0</v>
      </c>
      <c r="G10" s="22"/>
      <c r="H10" s="23"/>
      <c r="I10" s="24"/>
    </row>
    <row r="11" ht="26.25" customHeight="1">
      <c r="B11" s="17" t="s">
        <v>24</v>
      </c>
      <c r="C11" s="18" t="s">
        <v>29</v>
      </c>
      <c r="D11" s="19" t="s">
        <v>30</v>
      </c>
      <c r="E11" s="20">
        <v>6.0</v>
      </c>
      <c r="F11" s="21">
        <v>4.0</v>
      </c>
      <c r="G11" s="22"/>
      <c r="H11" s="21">
        <v>5.0</v>
      </c>
      <c r="I11" s="25" t="s">
        <v>31</v>
      </c>
    </row>
    <row r="12" ht="26.25" customHeight="1">
      <c r="B12" s="17" t="s">
        <v>24</v>
      </c>
      <c r="C12" s="18" t="s">
        <v>32</v>
      </c>
      <c r="D12" s="19" t="s">
        <v>33</v>
      </c>
      <c r="E12" s="20">
        <v>4.0</v>
      </c>
      <c r="F12" s="21">
        <v>3.0</v>
      </c>
      <c r="G12" s="22"/>
      <c r="H12" s="21">
        <v>2.0</v>
      </c>
      <c r="I12" s="25" t="s">
        <v>34</v>
      </c>
    </row>
    <row r="13" ht="26.25" customHeight="1">
      <c r="B13" s="17" t="s">
        <v>24</v>
      </c>
      <c r="C13" s="18" t="s">
        <v>35</v>
      </c>
      <c r="D13" s="19" t="s">
        <v>36</v>
      </c>
      <c r="E13" s="20">
        <v>2.0</v>
      </c>
      <c r="F13" s="21">
        <v>2.0</v>
      </c>
      <c r="G13" s="22"/>
      <c r="H13" s="23"/>
      <c r="I13" s="24"/>
    </row>
    <row r="14" ht="26.25" customHeight="1">
      <c r="B14" s="17" t="s">
        <v>37</v>
      </c>
      <c r="C14" s="18" t="s">
        <v>38</v>
      </c>
      <c r="D14" s="19" t="s">
        <v>39</v>
      </c>
      <c r="E14" s="20" t="s">
        <v>15</v>
      </c>
      <c r="F14" s="21" t="s">
        <v>16</v>
      </c>
      <c r="G14" s="22"/>
      <c r="H14" s="23"/>
      <c r="I14" s="24"/>
    </row>
    <row r="15" ht="26.25" customHeight="1">
      <c r="B15" s="17" t="s">
        <v>37</v>
      </c>
      <c r="C15" s="18" t="s">
        <v>40</v>
      </c>
      <c r="D15" s="19" t="s">
        <v>41</v>
      </c>
      <c r="E15" s="20">
        <v>2.0</v>
      </c>
      <c r="F15" s="21">
        <v>2.0</v>
      </c>
      <c r="G15" s="22"/>
      <c r="H15" s="23"/>
      <c r="I15" s="24"/>
    </row>
    <row r="16" ht="26.25" customHeight="1">
      <c r="B16" s="17" t="s">
        <v>37</v>
      </c>
      <c r="C16" s="18" t="s">
        <v>42</v>
      </c>
      <c r="D16" s="19" t="s">
        <v>43</v>
      </c>
      <c r="E16" s="20">
        <v>1.0</v>
      </c>
      <c r="F16" s="21">
        <v>1.0</v>
      </c>
      <c r="G16" s="22"/>
      <c r="H16" s="21">
        <v>1.0</v>
      </c>
      <c r="I16" s="25" t="s">
        <v>44</v>
      </c>
    </row>
    <row r="17" ht="26.25" customHeight="1">
      <c r="B17" s="17" t="s">
        <v>37</v>
      </c>
      <c r="C17" s="18" t="s">
        <v>45</v>
      </c>
      <c r="D17" s="19" t="s">
        <v>46</v>
      </c>
      <c r="E17" s="20">
        <v>3.0</v>
      </c>
      <c r="F17" s="21">
        <v>3.0</v>
      </c>
      <c r="G17" s="22"/>
      <c r="H17" s="23"/>
      <c r="I17" s="24"/>
    </row>
    <row r="18" ht="26.25" customHeight="1">
      <c r="B18" s="17" t="s">
        <v>37</v>
      </c>
      <c r="C18" s="18" t="s">
        <v>47</v>
      </c>
      <c r="D18" s="19" t="s">
        <v>48</v>
      </c>
      <c r="E18" s="20">
        <v>2.0</v>
      </c>
      <c r="F18" s="21">
        <v>1.0</v>
      </c>
      <c r="G18" s="22"/>
      <c r="H18" s="23"/>
      <c r="I18" s="24"/>
    </row>
    <row r="19" ht="26.25" customHeight="1">
      <c r="B19" s="17" t="s">
        <v>37</v>
      </c>
      <c r="C19" s="18" t="s">
        <v>49</v>
      </c>
      <c r="D19" s="19" t="s">
        <v>50</v>
      </c>
      <c r="E19" s="20">
        <v>2.0</v>
      </c>
      <c r="F19" s="21">
        <v>2.0</v>
      </c>
      <c r="G19" s="22"/>
      <c r="H19" s="21">
        <v>1.0</v>
      </c>
      <c r="I19" s="25" t="s">
        <v>51</v>
      </c>
    </row>
    <row r="20" ht="26.25" customHeight="1">
      <c r="B20" s="17" t="s">
        <v>37</v>
      </c>
      <c r="C20" s="18" t="s">
        <v>52</v>
      </c>
      <c r="D20" s="19" t="s">
        <v>53</v>
      </c>
      <c r="E20" s="20">
        <v>1.0</v>
      </c>
      <c r="F20" s="21">
        <v>1.0</v>
      </c>
      <c r="G20" s="22"/>
      <c r="H20" s="23"/>
      <c r="I20" s="24"/>
    </row>
    <row r="21" ht="26.25" customHeight="1">
      <c r="B21" s="17" t="s">
        <v>54</v>
      </c>
      <c r="C21" s="18" t="s">
        <v>55</v>
      </c>
      <c r="D21" s="19" t="s">
        <v>56</v>
      </c>
      <c r="E21" s="20" t="s">
        <v>15</v>
      </c>
      <c r="F21" s="21" t="s">
        <v>57</v>
      </c>
      <c r="G21" s="22"/>
      <c r="H21" s="23"/>
      <c r="I21" s="24"/>
    </row>
    <row r="22" ht="26.25" customHeight="1">
      <c r="B22" s="17" t="s">
        <v>54</v>
      </c>
      <c r="C22" s="18" t="s">
        <v>58</v>
      </c>
      <c r="D22" s="19" t="s">
        <v>59</v>
      </c>
      <c r="E22" s="20" t="s">
        <v>15</v>
      </c>
      <c r="F22" s="21" t="s">
        <v>57</v>
      </c>
      <c r="G22" s="22"/>
      <c r="H22" s="23"/>
      <c r="I22" s="24"/>
    </row>
    <row r="23" ht="26.25" customHeight="1">
      <c r="B23" s="17" t="s">
        <v>54</v>
      </c>
      <c r="C23" s="18" t="s">
        <v>60</v>
      </c>
      <c r="D23" s="19" t="s">
        <v>61</v>
      </c>
      <c r="E23" s="20">
        <v>1.0</v>
      </c>
      <c r="F23" s="21">
        <v>1.0</v>
      </c>
      <c r="G23" s="22"/>
      <c r="H23" s="23"/>
      <c r="I23" s="24"/>
    </row>
    <row r="24" ht="26.25" customHeight="1">
      <c r="B24" s="17" t="s">
        <v>54</v>
      </c>
      <c r="C24" s="18" t="s">
        <v>62</v>
      </c>
      <c r="D24" s="19" t="s">
        <v>63</v>
      </c>
      <c r="E24" s="20">
        <v>8.0</v>
      </c>
      <c r="F24" s="21">
        <v>8.0</v>
      </c>
      <c r="G24" s="22"/>
      <c r="H24" s="21">
        <v>4.0</v>
      </c>
      <c r="I24" s="25" t="s">
        <v>64</v>
      </c>
    </row>
    <row r="25" ht="26.25" customHeight="1">
      <c r="B25" s="17" t="s">
        <v>65</v>
      </c>
      <c r="C25" s="18" t="s">
        <v>66</v>
      </c>
      <c r="D25" s="19" t="s">
        <v>67</v>
      </c>
      <c r="E25" s="20" t="s">
        <v>15</v>
      </c>
      <c r="F25" s="23" t="s">
        <v>16</v>
      </c>
      <c r="G25" s="22"/>
      <c r="H25" s="23"/>
      <c r="I25" s="24"/>
    </row>
    <row r="26" ht="26.25" customHeight="1">
      <c r="B26" s="17" t="s">
        <v>65</v>
      </c>
      <c r="C26" s="18" t="s">
        <v>68</v>
      </c>
      <c r="D26" s="19" t="s">
        <v>69</v>
      </c>
      <c r="E26" s="20" t="s">
        <v>15</v>
      </c>
      <c r="F26" s="23" t="s">
        <v>16</v>
      </c>
      <c r="G26" s="22"/>
      <c r="H26" s="23"/>
      <c r="I26" s="24"/>
    </row>
    <row r="27" ht="26.25" customHeight="1">
      <c r="B27" s="17" t="s">
        <v>65</v>
      </c>
      <c r="C27" s="18" t="s">
        <v>70</v>
      </c>
      <c r="D27" s="19" t="s">
        <v>71</v>
      </c>
      <c r="E27" s="20" t="s">
        <v>15</v>
      </c>
      <c r="F27" s="23" t="s">
        <v>16</v>
      </c>
      <c r="G27" s="22"/>
      <c r="H27" s="23"/>
      <c r="I27" s="24"/>
    </row>
    <row r="28" ht="26.25" customHeight="1">
      <c r="B28" s="17" t="s">
        <v>65</v>
      </c>
      <c r="C28" s="18" t="s">
        <v>72</v>
      </c>
      <c r="D28" s="19" t="s">
        <v>73</v>
      </c>
      <c r="E28" s="20" t="s">
        <v>15</v>
      </c>
      <c r="F28" s="23" t="s">
        <v>16</v>
      </c>
      <c r="G28" s="22"/>
      <c r="H28" s="23"/>
      <c r="I28" s="24"/>
    </row>
    <row r="29" ht="26.25" customHeight="1">
      <c r="B29" s="17" t="s">
        <v>65</v>
      </c>
      <c r="C29" s="18" t="s">
        <v>74</v>
      </c>
      <c r="D29" s="19" t="s">
        <v>75</v>
      </c>
      <c r="E29" s="20" t="s">
        <v>15</v>
      </c>
      <c r="F29" s="23" t="s">
        <v>16</v>
      </c>
      <c r="G29" s="22"/>
      <c r="H29" s="23"/>
      <c r="I29" s="24"/>
    </row>
    <row r="30" ht="26.25" customHeight="1">
      <c r="B30" s="17" t="s">
        <v>65</v>
      </c>
      <c r="C30" s="18" t="s">
        <v>76</v>
      </c>
      <c r="D30" s="19" t="s">
        <v>77</v>
      </c>
      <c r="E30" s="20">
        <v>5.0</v>
      </c>
      <c r="F30" s="21">
        <v>3.0</v>
      </c>
      <c r="G30" s="22"/>
      <c r="H30" s="23"/>
      <c r="I30" s="24"/>
    </row>
    <row r="31" ht="26.25" customHeight="1">
      <c r="B31" s="17" t="s">
        <v>65</v>
      </c>
      <c r="C31" s="18" t="s">
        <v>78</v>
      </c>
      <c r="D31" s="19" t="s">
        <v>79</v>
      </c>
      <c r="E31" s="20">
        <v>5.0</v>
      </c>
      <c r="F31" s="21">
        <v>3.0</v>
      </c>
      <c r="G31" s="22"/>
      <c r="H31" s="21">
        <v>4.0</v>
      </c>
      <c r="I31" s="25" t="s">
        <v>80</v>
      </c>
    </row>
    <row r="32" ht="26.25" customHeight="1">
      <c r="B32" s="17" t="s">
        <v>65</v>
      </c>
      <c r="C32" s="18" t="s">
        <v>81</v>
      </c>
      <c r="D32" s="19" t="s">
        <v>82</v>
      </c>
      <c r="E32" s="20">
        <v>10.0</v>
      </c>
      <c r="F32" s="21">
        <v>9.0</v>
      </c>
      <c r="G32" s="22"/>
      <c r="H32" s="21">
        <v>4.0</v>
      </c>
      <c r="I32" s="25" t="s">
        <v>83</v>
      </c>
    </row>
    <row r="33" ht="26.25" customHeight="1">
      <c r="B33" s="17" t="s">
        <v>65</v>
      </c>
      <c r="C33" s="18" t="s">
        <v>84</v>
      </c>
      <c r="D33" s="19" t="s">
        <v>85</v>
      </c>
      <c r="E33" s="20">
        <v>5.0</v>
      </c>
      <c r="F33" s="21">
        <v>5.0</v>
      </c>
      <c r="G33" s="22"/>
      <c r="H33" s="23"/>
      <c r="I33" s="24"/>
    </row>
    <row r="34" ht="26.25" customHeight="1">
      <c r="B34" s="17" t="s">
        <v>65</v>
      </c>
      <c r="C34" s="18" t="s">
        <v>86</v>
      </c>
      <c r="D34" s="19" t="s">
        <v>87</v>
      </c>
      <c r="E34" s="20">
        <v>4.0</v>
      </c>
      <c r="F34" s="21">
        <v>4.0</v>
      </c>
      <c r="G34" s="22"/>
      <c r="H34" s="23"/>
      <c r="I34" s="24"/>
    </row>
    <row r="35" ht="26.25" customHeight="1">
      <c r="B35" s="17" t="s">
        <v>65</v>
      </c>
      <c r="C35" s="18" t="s">
        <v>88</v>
      </c>
      <c r="D35" s="19" t="s">
        <v>89</v>
      </c>
      <c r="E35" s="20">
        <v>2.0</v>
      </c>
      <c r="F35" s="21">
        <v>1.0</v>
      </c>
      <c r="G35" s="22"/>
      <c r="H35" s="23"/>
      <c r="I35" s="24"/>
    </row>
    <row r="36" ht="26.25" customHeight="1">
      <c r="B36" s="17" t="s">
        <v>65</v>
      </c>
      <c r="C36" s="18" t="s">
        <v>90</v>
      </c>
      <c r="D36" s="19" t="s">
        <v>91</v>
      </c>
      <c r="E36" s="20">
        <v>2.0</v>
      </c>
      <c r="F36" s="21">
        <v>2.0</v>
      </c>
      <c r="G36" s="22"/>
      <c r="H36" s="23"/>
      <c r="I36" s="24"/>
    </row>
    <row r="37" ht="26.25" customHeight="1">
      <c r="B37" s="17" t="s">
        <v>92</v>
      </c>
      <c r="C37" s="18" t="s">
        <v>93</v>
      </c>
      <c r="D37" s="19" t="s">
        <v>94</v>
      </c>
      <c r="E37" s="20" t="s">
        <v>15</v>
      </c>
      <c r="F37" s="23" t="s">
        <v>16</v>
      </c>
      <c r="G37" s="22"/>
      <c r="H37" s="21" t="s">
        <v>16</v>
      </c>
      <c r="I37" s="25" t="s">
        <v>95</v>
      </c>
    </row>
    <row r="38" ht="26.25" customHeight="1">
      <c r="B38" s="17" t="s">
        <v>92</v>
      </c>
      <c r="C38" s="18" t="s">
        <v>96</v>
      </c>
      <c r="D38" s="19" t="s">
        <v>97</v>
      </c>
      <c r="E38" s="20" t="s">
        <v>15</v>
      </c>
      <c r="F38" s="23" t="s">
        <v>16</v>
      </c>
      <c r="G38" s="22"/>
      <c r="H38" s="23"/>
      <c r="I38" s="24"/>
    </row>
    <row r="39" ht="26.25" customHeight="1">
      <c r="B39" s="17" t="s">
        <v>92</v>
      </c>
      <c r="C39" s="18" t="s">
        <v>98</v>
      </c>
      <c r="D39" s="19" t="s">
        <v>99</v>
      </c>
      <c r="E39" s="20">
        <v>3.0</v>
      </c>
      <c r="F39" s="21">
        <v>0.0</v>
      </c>
      <c r="G39" s="22"/>
      <c r="H39" s="23"/>
      <c r="I39" s="24"/>
    </row>
    <row r="40" ht="26.25" customHeight="1">
      <c r="B40" s="17" t="s">
        <v>92</v>
      </c>
      <c r="C40" s="18" t="s">
        <v>100</v>
      </c>
      <c r="D40" s="19" t="s">
        <v>101</v>
      </c>
      <c r="E40" s="20">
        <v>6.0</v>
      </c>
      <c r="F40" s="21">
        <v>5.0</v>
      </c>
      <c r="G40" s="22"/>
      <c r="H40" s="23"/>
      <c r="I40" s="24"/>
    </row>
    <row r="41" ht="26.25" customHeight="1">
      <c r="B41" s="17" t="s">
        <v>92</v>
      </c>
      <c r="C41" s="18" t="s">
        <v>102</v>
      </c>
      <c r="D41" s="19" t="s">
        <v>103</v>
      </c>
      <c r="E41" s="20">
        <v>2.0</v>
      </c>
      <c r="F41" s="21">
        <v>2.0</v>
      </c>
      <c r="G41" s="22"/>
      <c r="H41" s="23"/>
      <c r="I41" s="24"/>
    </row>
    <row r="42" ht="26.25" customHeight="1">
      <c r="B42" s="17" t="s">
        <v>92</v>
      </c>
      <c r="C42" s="18" t="s">
        <v>104</v>
      </c>
      <c r="D42" s="19" t="s">
        <v>105</v>
      </c>
      <c r="E42" s="20">
        <v>5.0</v>
      </c>
      <c r="F42" s="21">
        <v>4.0</v>
      </c>
      <c r="G42" s="22"/>
      <c r="H42" s="21">
        <v>1.0</v>
      </c>
      <c r="I42" s="25" t="s">
        <v>106</v>
      </c>
    </row>
    <row r="43" ht="26.25" customHeight="1">
      <c r="B43" s="17" t="s">
        <v>92</v>
      </c>
      <c r="C43" s="18" t="s">
        <v>107</v>
      </c>
      <c r="D43" s="19" t="s">
        <v>108</v>
      </c>
      <c r="E43" s="20">
        <v>2.0</v>
      </c>
      <c r="F43" s="21">
        <v>2.0</v>
      </c>
      <c r="G43" s="22"/>
      <c r="H43" s="23"/>
      <c r="I43" s="24"/>
    </row>
    <row r="44" ht="26.25" customHeight="1">
      <c r="B44" s="17" t="s">
        <v>109</v>
      </c>
      <c r="C44" s="18" t="s">
        <v>110</v>
      </c>
      <c r="D44" s="19" t="s">
        <v>111</v>
      </c>
      <c r="E44" s="20" t="s">
        <v>15</v>
      </c>
      <c r="F44" s="23" t="s">
        <v>16</v>
      </c>
      <c r="G44" s="22"/>
      <c r="H44" s="23"/>
      <c r="I44" s="24"/>
    </row>
    <row r="45" ht="26.25" customHeight="1">
      <c r="B45" s="17" t="s">
        <v>109</v>
      </c>
      <c r="C45" s="18" t="s">
        <v>112</v>
      </c>
      <c r="D45" s="19" t="s">
        <v>113</v>
      </c>
      <c r="E45" s="20" t="s">
        <v>15</v>
      </c>
      <c r="F45" s="23" t="s">
        <v>16</v>
      </c>
      <c r="G45" s="22"/>
      <c r="H45" s="23"/>
      <c r="I45" s="24"/>
    </row>
    <row r="46" ht="26.25" customHeight="1">
      <c r="B46" s="17" t="s">
        <v>109</v>
      </c>
      <c r="C46" s="18" t="s">
        <v>114</v>
      </c>
      <c r="D46" s="19" t="s">
        <v>115</v>
      </c>
      <c r="E46" s="20" t="s">
        <v>15</v>
      </c>
      <c r="F46" s="23" t="s">
        <v>16</v>
      </c>
      <c r="G46" s="22"/>
      <c r="H46" s="23"/>
      <c r="I46" s="24"/>
    </row>
    <row r="47" ht="26.25" customHeight="1">
      <c r="B47" s="17" t="s">
        <v>109</v>
      </c>
      <c r="C47" s="18" t="s">
        <v>116</v>
      </c>
      <c r="D47" s="19" t="s">
        <v>117</v>
      </c>
      <c r="E47" s="20">
        <v>1.0</v>
      </c>
      <c r="F47" s="21">
        <v>1.0</v>
      </c>
      <c r="G47" s="22"/>
      <c r="H47" s="23"/>
      <c r="I47" s="24"/>
    </row>
    <row r="48" ht="26.25" customHeight="1">
      <c r="B48" s="17" t="s">
        <v>109</v>
      </c>
      <c r="C48" s="18" t="s">
        <v>118</v>
      </c>
      <c r="D48" s="19" t="s">
        <v>119</v>
      </c>
      <c r="E48" s="20">
        <v>7.0</v>
      </c>
      <c r="F48" s="21">
        <v>7.0</v>
      </c>
      <c r="G48" s="22"/>
      <c r="H48" s="21">
        <v>5.0</v>
      </c>
      <c r="I48" s="25" t="s">
        <v>120</v>
      </c>
    </row>
    <row r="49" ht="26.25" customHeight="1">
      <c r="B49" s="17" t="s">
        <v>109</v>
      </c>
      <c r="C49" s="18" t="s">
        <v>121</v>
      </c>
      <c r="D49" s="19" t="s">
        <v>122</v>
      </c>
      <c r="E49" s="20">
        <v>1.0</v>
      </c>
      <c r="F49" s="21">
        <v>1.0</v>
      </c>
      <c r="G49" s="22"/>
      <c r="H49" s="21">
        <v>1.0</v>
      </c>
      <c r="I49" s="25" t="s">
        <v>123</v>
      </c>
    </row>
    <row r="50" ht="26.25" customHeight="1">
      <c r="B50" s="17" t="s">
        <v>109</v>
      </c>
      <c r="C50" s="18" t="s">
        <v>124</v>
      </c>
      <c r="D50" s="19" t="s">
        <v>125</v>
      </c>
      <c r="E50" s="20">
        <v>2.0</v>
      </c>
      <c r="F50" s="21">
        <v>2.0</v>
      </c>
      <c r="G50" s="22"/>
      <c r="H50" s="23"/>
      <c r="I50" s="24"/>
    </row>
    <row r="51" ht="26.25" customHeight="1">
      <c r="B51" s="17" t="s">
        <v>109</v>
      </c>
      <c r="C51" s="18" t="s">
        <v>126</v>
      </c>
      <c r="D51" s="19" t="s">
        <v>127</v>
      </c>
      <c r="E51" s="20">
        <v>2.0</v>
      </c>
      <c r="F51" s="21">
        <v>2.0</v>
      </c>
      <c r="G51" s="22"/>
      <c r="H51" s="23"/>
      <c r="I51" s="24"/>
    </row>
    <row r="52" ht="26.25" customHeight="1">
      <c r="B52" s="17" t="s">
        <v>128</v>
      </c>
      <c r="C52" s="18" t="s">
        <v>129</v>
      </c>
      <c r="D52" s="19" t="s">
        <v>130</v>
      </c>
      <c r="E52" s="20">
        <v>9.0</v>
      </c>
      <c r="F52" s="21">
        <v>5.0</v>
      </c>
      <c r="G52" s="22"/>
      <c r="H52" s="21">
        <v>2.0</v>
      </c>
      <c r="I52" s="25" t="s">
        <v>131</v>
      </c>
    </row>
    <row r="53" ht="26.25" customHeight="1">
      <c r="B53" s="26" t="s">
        <v>128</v>
      </c>
      <c r="C53" s="27" t="s">
        <v>132</v>
      </c>
      <c r="D53" s="28" t="s">
        <v>133</v>
      </c>
      <c r="E53" s="29">
        <v>1.0</v>
      </c>
      <c r="F53" s="30">
        <v>1.0</v>
      </c>
      <c r="G53" s="31"/>
      <c r="H53" s="32"/>
      <c r="I53" s="33"/>
    </row>
    <row r="54" ht="24.0" customHeight="1">
      <c r="B54" s="34"/>
      <c r="C54" s="35"/>
      <c r="D54" s="35"/>
      <c r="E54" s="36" t="s">
        <v>134</v>
      </c>
      <c r="F54" s="37">
        <f>SUM(F5:F53)</f>
        <v>90</v>
      </c>
      <c r="G54" s="35"/>
      <c r="H54" s="37">
        <f>SUM(H5:H53)</f>
        <v>31</v>
      </c>
      <c r="I54" s="38"/>
    </row>
    <row r="55">
      <c r="B55" s="39"/>
      <c r="C55" s="40"/>
      <c r="D55" s="40"/>
      <c r="E55" s="41" t="s">
        <v>135</v>
      </c>
      <c r="F55" s="42" t="str">
        <f>IF(F54&gt;=80,"Platinum",IF(F54&gt;=60,"Gold",IF(F54&gt;=50,"Silver",IF(F54&gt;=40,"Certified","Uncertified"))))</f>
        <v>Platinum</v>
      </c>
      <c r="G55" s="40"/>
      <c r="H55" s="42" t="str">
        <f>IF(H54&gt;=80,"Platinum",IF(H54&gt;=60,"Gold",IF(H54&gt;=50,"Silver",IF(H54&gt;=40,"Certified","Uncertified"))))</f>
        <v>Uncertified</v>
      </c>
      <c r="I55" s="43"/>
    </row>
  </sheetData>
  <mergeCells count="4">
    <mergeCell ref="F2:G2"/>
    <mergeCell ref="F3:G3"/>
    <mergeCell ref="H2:I2"/>
    <mergeCell ref="H3:I3"/>
  </mergeCells>
  <conditionalFormatting sqref="F55:H55">
    <cfRule type="cellIs" dxfId="3" priority="1" stopIfTrue="1" operator="equal">
      <formula>"Platinum"</formula>
    </cfRule>
  </conditionalFormatting>
  <conditionalFormatting sqref="F55:H55">
    <cfRule type="cellIs" dxfId="4" priority="2" stopIfTrue="1" operator="equal">
      <formula>"Gold"</formula>
    </cfRule>
  </conditionalFormatting>
  <conditionalFormatting sqref="F55:H55">
    <cfRule type="cellIs" dxfId="5" priority="3" stopIfTrue="1" operator="equal">
      <formula>"Silver"</formula>
    </cfRule>
  </conditionalFormatting>
  <conditionalFormatting sqref="F55:H55">
    <cfRule type="cellIs" dxfId="6" priority="4" stopIfTrue="1" operator="equal">
      <formula>"Certified"</formula>
    </cfRule>
  </conditionalFormatting>
  <conditionalFormatting sqref="F55:H55">
    <cfRule type="cellIs" dxfId="7" priority="5" stopIfTrue="1" operator="equal">
      <formula>"Uncertified"</formula>
    </cfRule>
  </conditionalFormatting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76146C9C-A8ED-49C6-A786-03BD13C6AD2D}"/>
</file>

<file path=customXml/itemProps2.xml><?xml version="1.0" encoding="utf-8"?>
<ds:datastoreItem xmlns:ds="http://schemas.openxmlformats.org/officeDocument/2006/customXml" ds:itemID="{C0DA1144-6227-40D3-B319-63EF0002AB57}"/>
</file>

<file path=customXml/itemProps3.xml><?xml version="1.0" encoding="utf-8"?>
<ds:datastoreItem xmlns:ds="http://schemas.openxmlformats.org/officeDocument/2006/customXml" ds:itemID="{EEE362D9-917A-4556-8693-6CD157C087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